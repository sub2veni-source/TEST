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자산 조회 대시보드" sheetId="1" state="visible" r:id="rId1"/>
    <sheet xmlns:r="http://schemas.openxmlformats.org/officeDocument/2006/relationships" name="주식보유수량" sheetId="2" state="visible" r:id="rId2"/>
    <sheet xmlns:r="http://schemas.openxmlformats.org/officeDocument/2006/relationships" name="주식연도별가격" sheetId="3" state="visible" r:id="rId3"/>
    <sheet xmlns:r="http://schemas.openxmlformats.org/officeDocument/2006/relationships" name="코인보유수량" sheetId="4" state="visible" r:id="rId4"/>
    <sheet xmlns:r="http://schemas.openxmlformats.org/officeDocument/2006/relationships" name="코인연도별가격" sheetId="5" state="visible" r:id="rId5"/>
    <sheet xmlns:r="http://schemas.openxmlformats.org/officeDocument/2006/relationships" name="연도별기타자산" sheetId="6" state="visible" r:id="rId6"/>
    <sheet xmlns:r="http://schemas.openxmlformats.org/officeDocument/2006/relationships" name="연도별 자산 스냅샷" sheetId="7" state="visible" r:id="rId7"/>
    <sheet xmlns:r="http://schemas.openxmlformats.org/officeDocument/2006/relationships" name="글로벌 위기 숏 포지션" sheetId="8" state="visible" r:id="rId8"/>
    <sheet xmlns:r="http://schemas.openxmlformats.org/officeDocument/2006/relationships" name="알트코인 운용 수익" sheetId="9" state="visible" r:id="rId9"/>
    <sheet xmlns:r="http://schemas.openxmlformats.org/officeDocument/2006/relationships" name="부동산 보유 현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2"/>
    </font>
    <font>
      <name val="Arial"/>
      <color rgb="000000FF"/>
      <sz val="10"/>
    </font>
    <font>
      <name val="Arial"/>
      <b val="1"/>
      <color rgb="000000FF"/>
      <sz val="14"/>
    </font>
    <font>
      <name val="Arial"/>
      <i val="1"/>
      <color rgb="0088888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00"/>
      <sz val="10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color rgb="000000FF"/>
      <sz val="9"/>
    </font>
    <font>
      <name val="Arial"/>
      <color rgb="00333333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9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D700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2EFDA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65100"/>
      </patternFill>
    </fill>
    <fill>
      <patternFill patternType="solid">
        <fgColor rgb="00FFF8E1"/>
      </patternFill>
    </fill>
    <fill>
      <patternFill patternType="solid">
        <fgColor rgb="00FBE9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3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5" borderId="1" applyAlignment="1" pivotButton="0" quotePrefix="0" xfId="0">
      <alignment horizontal="right" vertical="center"/>
    </xf>
    <xf numFmtId="0" fontId="10" fillId="5" borderId="1" pivotButton="0" quotePrefix="0" xfId="0"/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right" vertical="center"/>
    </xf>
    <xf numFmtId="0" fontId="10" fillId="0" borderId="1" pivotButton="0" quotePrefix="0" xfId="0"/>
    <xf numFmtId="0" fontId="11" fillId="6" borderId="0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9" fillId="7" borderId="1" applyAlignment="1" pivotButton="0" quotePrefix="0" xfId="0">
      <alignment horizontal="right" vertical="center"/>
    </xf>
    <xf numFmtId="0" fontId="10" fillId="7" borderId="1" pivotButton="0" quotePrefix="0" xfId="0"/>
    <xf numFmtId="0" fontId="7" fillId="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right" vertical="center"/>
    </xf>
    <xf numFmtId="0" fontId="7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right" vertical="center"/>
    </xf>
    <xf numFmtId="0" fontId="7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right" vertical="center"/>
    </xf>
    <xf numFmtId="0" fontId="13" fillId="2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13" fillId="14" borderId="0" applyAlignment="1" pivotButton="0" quotePrefix="0" xfId="0">
      <alignment horizontal="center" vertical="center" wrapText="1"/>
    </xf>
    <xf numFmtId="0" fontId="14" fillId="14" borderId="0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right" vertical="center"/>
    </xf>
    <xf numFmtId="0" fontId="17" fillId="15" borderId="1" applyAlignment="1" pivotButton="0" quotePrefix="0" xfId="0">
      <alignment horizontal="right" vertical="center"/>
    </xf>
    <xf numFmtId="0" fontId="15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right" vertical="center"/>
    </xf>
    <xf numFmtId="0" fontId="17" fillId="16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right" vertical="center"/>
    </xf>
    <xf numFmtId="0" fontId="13" fillId="14" borderId="0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16" customWidth="1" min="5" max="5"/>
    <col width="20" customWidth="1" min="6" max="6"/>
  </cols>
  <sheetData>
    <row r="1" ht="40" customHeight="1">
      <c r="A1" s="1" t="inlineStr">
        <is>
          <t>K — 자산 현황 조회 (년월 입력)</t>
        </is>
      </c>
    </row>
    <row r="3" ht="30" customHeight="1">
      <c r="A3" s="2" t="inlineStr">
        <is>
          <t>조회 연도</t>
        </is>
      </c>
      <c r="B3" s="3" t="n">
        <v>2014</v>
      </c>
      <c r="C3" s="2" t="inlineStr">
        <is>
          <t>조회 월</t>
        </is>
      </c>
      <c r="D3" s="3" t="n">
        <v>6</v>
      </c>
      <c r="E3" s="4" t="inlineStr">
        <is>
          <t>← 연도/월 입력 후 자산 현황 확인</t>
        </is>
      </c>
    </row>
    <row r="4" ht="10" customHeight="1"/>
    <row r="5" ht="25" customHeight="1">
      <c r="A5" s="5" t="inlineStr">
        <is>
          <t>자산 구분</t>
        </is>
      </c>
      <c r="B5" s="5" t="inlineStr">
        <is>
          <t>세부 항목</t>
        </is>
      </c>
      <c r="C5" s="5" t="inlineStr">
        <is>
          <t>보유 수량</t>
        </is>
      </c>
      <c r="D5" s="5" t="inlineStr">
        <is>
          <t>단가 ($)</t>
        </is>
      </c>
      <c r="E5" s="5" t="inlineStr">
        <is>
          <t>평가액 ($M)</t>
        </is>
      </c>
      <c r="F5" s="5" t="inlineStr">
        <is>
          <t>비고</t>
        </is>
      </c>
    </row>
    <row r="6" ht="18" customHeight="1">
      <c r="A6" s="6" t="inlineStr">
        <is>
          <t>주식</t>
        </is>
      </c>
      <c r="B6" s="7" t="inlineStr">
        <is>
          <t>AMZN</t>
        </is>
      </c>
      <c r="C6" s="8">
        <f>IFERROR(VLOOKUP($B$3,주식보유수량!$A:$ZZ,MATCH("AMZN",주식보유수량!$1:$1,0),TRUE),"-")</f>
        <v/>
      </c>
      <c r="D6" s="8">
        <f>IFERROR(VLOOKUP($B$3,주식연도별가격!$A:$ZZ,MATCH("AMZN",주식연도별가격!$1:$1,0),TRUE),"-")</f>
        <v/>
      </c>
      <c r="E6" s="8">
        <f>IFERROR(IF(C6="-",0,C6*D6/1000000),0)</f>
        <v/>
      </c>
      <c r="F6" s="9" t="inlineStr">
        <is>
          <t>연도 평균가 기준</t>
        </is>
      </c>
    </row>
    <row r="7" ht="18" customHeight="1">
      <c r="A7" s="10" t="inlineStr">
        <is>
          <t>주식</t>
        </is>
      </c>
      <c r="B7" s="11" t="inlineStr">
        <is>
          <t>AAPL</t>
        </is>
      </c>
      <c r="C7" s="12">
        <f>IFERROR(VLOOKUP($B$3,주식보유수량!$A:$ZZ,MATCH("AAPL",주식보유수량!$1:$1,0),TRUE),"-")</f>
        <v/>
      </c>
      <c r="D7" s="12">
        <f>IFERROR(VLOOKUP($B$3,주식연도별가격!$A:$ZZ,MATCH("AAPL",주식연도별가격!$1:$1,0),TRUE),"-")</f>
        <v/>
      </c>
      <c r="E7" s="12">
        <f>IFERROR(IF(C7="-",0,C7*D7/1000000),0)</f>
        <v/>
      </c>
      <c r="F7" s="13" t="inlineStr">
        <is>
          <t>연도 평균가 기준</t>
        </is>
      </c>
    </row>
    <row r="8" ht="18" customHeight="1">
      <c r="A8" s="6" t="inlineStr">
        <is>
          <t>주식</t>
        </is>
      </c>
      <c r="B8" s="7" t="inlineStr">
        <is>
          <t>GOOG</t>
        </is>
      </c>
      <c r="C8" s="8">
        <f>IFERROR(VLOOKUP($B$3,주식보유수량!$A:$ZZ,MATCH("GOOG",주식보유수량!$1:$1,0),TRUE),"-")</f>
        <v/>
      </c>
      <c r="D8" s="8">
        <f>IFERROR(VLOOKUP($B$3,주식연도별가격!$A:$ZZ,MATCH("GOOG",주식연도별가격!$1:$1,0),TRUE),"-")</f>
        <v/>
      </c>
      <c r="E8" s="8">
        <f>IFERROR(IF(C8="-",0,C8*D8/1000000),0)</f>
        <v/>
      </c>
      <c r="F8" s="9" t="inlineStr">
        <is>
          <t>연도 평균가 기준</t>
        </is>
      </c>
    </row>
    <row r="9" ht="18" customHeight="1">
      <c r="A9" s="10" t="inlineStr">
        <is>
          <t>주식</t>
        </is>
      </c>
      <c r="B9" s="11" t="inlineStr">
        <is>
          <t>NVDA</t>
        </is>
      </c>
      <c r="C9" s="12">
        <f>IFERROR(VLOOKUP($B$3,주식보유수량!$A:$ZZ,MATCH("NVDA",주식보유수량!$1:$1,0),TRUE),"-")</f>
        <v/>
      </c>
      <c r="D9" s="12">
        <f>IFERROR(VLOOKUP($B$3,주식연도별가격!$A:$ZZ,MATCH("NVDA",주식연도별가격!$1:$1,0),TRUE),"-")</f>
        <v/>
      </c>
      <c r="E9" s="12">
        <f>IFERROR(IF(C9="-",0,C9*D9/1000000),0)</f>
        <v/>
      </c>
      <c r="F9" s="13" t="inlineStr">
        <is>
          <t>연도 평균가 기준</t>
        </is>
      </c>
    </row>
    <row r="10" ht="18" customHeight="1">
      <c r="A10" s="6" t="inlineStr">
        <is>
          <t>주식</t>
        </is>
      </c>
      <c r="B10" s="7" t="inlineStr">
        <is>
          <t>NFLX</t>
        </is>
      </c>
      <c r="C10" s="8">
        <f>IFERROR(VLOOKUP($B$3,주식보유수량!$A:$ZZ,MATCH("NFLX",주식보유수량!$1:$1,0),TRUE),"-")</f>
        <v/>
      </c>
      <c r="D10" s="8">
        <f>IFERROR(VLOOKUP($B$3,주식연도별가격!$A:$ZZ,MATCH("NFLX",주식연도별가격!$1:$1,0),TRUE),"-")</f>
        <v/>
      </c>
      <c r="E10" s="8">
        <f>IFERROR(IF(C10="-",0,C10*D10/1000000),0)</f>
        <v/>
      </c>
      <c r="F10" s="9" t="inlineStr">
        <is>
          <t>연도 평균가 기준</t>
        </is>
      </c>
    </row>
    <row r="11" ht="18" customHeight="1">
      <c r="A11" s="10" t="inlineStr">
        <is>
          <t>주식</t>
        </is>
      </c>
      <c r="B11" s="11" t="inlineStr">
        <is>
          <t>TSLA</t>
        </is>
      </c>
      <c r="C11" s="12">
        <f>IFERROR(VLOOKUP($B$3,주식보유수량!$A:$ZZ,MATCH("TSLA",주식보유수량!$1:$1,0),TRUE),"-")</f>
        <v/>
      </c>
      <c r="D11" s="12">
        <f>IFERROR(VLOOKUP($B$3,주식연도별가격!$A:$ZZ,MATCH("TSLA",주식연도별가격!$1:$1,0),TRUE),"-")</f>
        <v/>
      </c>
      <c r="E11" s="12">
        <f>IFERROR(IF(C11="-",0,C11*D11/1000000),0)</f>
        <v/>
      </c>
      <c r="F11" s="13" t="inlineStr">
        <is>
          <t>연도 평균가 기준</t>
        </is>
      </c>
    </row>
    <row r="12" ht="18" customHeight="1">
      <c r="A12" s="6" t="inlineStr">
        <is>
          <t>주식</t>
        </is>
      </c>
      <c r="B12" s="7" t="inlineStr">
        <is>
          <t>BABA</t>
        </is>
      </c>
      <c r="C12" s="8">
        <f>IFERROR(VLOOKUP($B$3,주식보유수량!$A:$ZZ,MATCH("BABA",주식보유수량!$1:$1,0),TRUE),"-")</f>
        <v/>
      </c>
      <c r="D12" s="8">
        <f>IFERROR(VLOOKUP($B$3,주식연도별가격!$A:$ZZ,MATCH("BABA",주식연도별가격!$1:$1,0),TRUE),"-")</f>
        <v/>
      </c>
      <c r="E12" s="8">
        <f>IFERROR(IF(C12="-",0,C12*D12/1000000),0)</f>
        <v/>
      </c>
      <c r="F12" s="9" t="inlineStr">
        <is>
          <t>연도 평균가 기준</t>
        </is>
      </c>
    </row>
    <row r="13" ht="18" customHeight="1">
      <c r="A13" s="10" t="inlineStr">
        <is>
          <t>주식</t>
        </is>
      </c>
      <c r="B13" s="11" t="inlineStr">
        <is>
          <t>AMD</t>
        </is>
      </c>
      <c r="C13" s="12">
        <f>IFERROR(VLOOKUP($B$3,주식보유수량!$A:$ZZ,MATCH("AMD",주식보유수량!$1:$1,0),TRUE),"-")</f>
        <v/>
      </c>
      <c r="D13" s="12">
        <f>IFERROR(VLOOKUP($B$3,주식연도별가격!$A:$ZZ,MATCH("AMD",주식연도별가격!$1:$1,0),TRUE),"-")</f>
        <v/>
      </c>
      <c r="E13" s="12">
        <f>IFERROR(IF(C13="-",0,C13*D13/1000000),0)</f>
        <v/>
      </c>
      <c r="F13" s="13" t="inlineStr">
        <is>
          <t>연도 평균가 기준</t>
        </is>
      </c>
    </row>
    <row r="14" ht="18" customHeight="1">
      <c r="A14" s="6" t="inlineStr">
        <is>
          <t>주식</t>
        </is>
      </c>
      <c r="B14" s="7" t="inlineStr">
        <is>
          <t>META</t>
        </is>
      </c>
      <c r="C14" s="8">
        <f>IFERROR(VLOOKUP($B$3,주식보유수량!$A:$ZZ,MATCH("META",주식보유수량!$1:$1,0),TRUE),"-")</f>
        <v/>
      </c>
      <c r="D14" s="8">
        <f>IFERROR(VLOOKUP($B$3,주식연도별가격!$A:$ZZ,MATCH("META",주식연도별가격!$1:$1,0),TRUE),"-")</f>
        <v/>
      </c>
      <c r="E14" s="8">
        <f>IFERROR(IF(C14="-",0,C14*D14/1000000),0)</f>
        <v/>
      </c>
      <c r="F14" s="9" t="inlineStr">
        <is>
          <t>연도 평균가 기준</t>
        </is>
      </c>
    </row>
    <row r="15" ht="18" customHeight="1">
      <c r="A15" s="10" t="inlineStr">
        <is>
          <t>주식</t>
        </is>
      </c>
      <c r="B15" s="11" t="inlineStr">
        <is>
          <t>MSFT</t>
        </is>
      </c>
      <c r="C15" s="12">
        <f>IFERROR(VLOOKUP($B$3,주식보유수량!$A:$ZZ,MATCH("MSFT",주식보유수량!$1:$1,0),TRUE),"-")</f>
        <v/>
      </c>
      <c r="D15" s="12">
        <f>IFERROR(VLOOKUP($B$3,주식연도별가격!$A:$ZZ,MATCH("MSFT",주식연도별가격!$1:$1,0),TRUE),"-")</f>
        <v/>
      </c>
      <c r="E15" s="12">
        <f>IFERROR(IF(C15="-",0,C15*D15/1000000),0)</f>
        <v/>
      </c>
      <c r="F15" s="13" t="inlineStr">
        <is>
          <t>연도 평균가 기준</t>
        </is>
      </c>
    </row>
    <row r="16" ht="18" customHeight="1">
      <c r="A16" s="6" t="inlineStr">
        <is>
          <t>주식</t>
        </is>
      </c>
      <c r="B16" s="7" t="inlineStr">
        <is>
          <t>텐센트</t>
        </is>
      </c>
      <c r="C16" s="8">
        <f>IFERROR(VLOOKUP($B$3,주식보유수량!$A:$ZZ,MATCH("텐센트",주식보유수량!$1:$1,0),TRUE),"-")</f>
        <v/>
      </c>
      <c r="D16" s="8">
        <f>IFERROR(VLOOKUP($B$3,주식연도별가격!$A:$ZZ,MATCH("텐센트",주식연도별가격!$1:$1,0),TRUE),"-")</f>
        <v/>
      </c>
      <c r="E16" s="8">
        <f>IFERROR(IF(C16="-",0,C16*D16/1000000),0)</f>
        <v/>
      </c>
      <c r="F16" s="9" t="inlineStr">
        <is>
          <t>연도 평균가 기준</t>
        </is>
      </c>
    </row>
    <row r="17" ht="18" customHeight="1">
      <c r="A17" s="10" t="inlineStr">
        <is>
          <t>주식</t>
        </is>
      </c>
      <c r="B17" s="11" t="inlineStr">
        <is>
          <t>AVGO</t>
        </is>
      </c>
      <c r="C17" s="12">
        <f>IFERROR(VLOOKUP($B$3,주식보유수량!$A:$ZZ,MATCH("AVGO",주식보유수량!$1:$1,0),TRUE),"-")</f>
        <v/>
      </c>
      <c r="D17" s="12">
        <f>IFERROR(VLOOKUP($B$3,주식연도별가격!$A:$ZZ,MATCH("AVGO",주식연도별가격!$1:$1,0),TRUE),"-")</f>
        <v/>
      </c>
      <c r="E17" s="12">
        <f>IFERROR(IF(C17="-",0,C17*D17/1000000),0)</f>
        <v/>
      </c>
      <c r="F17" s="13" t="inlineStr">
        <is>
          <t>연도 평균가 기준</t>
        </is>
      </c>
    </row>
    <row r="18" ht="20" customHeight="1">
      <c r="A18" s="14" t="inlineStr">
        <is>
          <t>주식 소계</t>
        </is>
      </c>
      <c r="E18" s="15">
        <f>SUM(E6:E17)</f>
        <v/>
      </c>
    </row>
    <row r="19" ht="18" customHeight="1">
      <c r="A19" s="10" t="inlineStr">
        <is>
          <t>코인</t>
        </is>
      </c>
      <c r="B19" s="11" t="inlineStr">
        <is>
          <t>BTC(사토시)</t>
        </is>
      </c>
      <c r="C19" s="12">
        <f>IFERROR(VLOOKUP($B$3,코인보유수량!$A:$ZZ,MATCH("BTC(사토시)",코인보유수량!$1:$1,0),TRUE),"-")</f>
        <v/>
      </c>
      <c r="D19" s="12">
        <f>IFERROR(VLOOKUP($B$3,코인연도별가격!$A:$ZZ,MATCH("BTC(사토시)",코인연도별가격!$1:$1,0),TRUE),"-")</f>
        <v/>
      </c>
      <c r="E19" s="12">
        <f>IFERROR(IF(C19="-",0,C19*D19/1000000),0)</f>
        <v/>
      </c>
      <c r="F19" s="13" t="inlineStr">
        <is>
          <t>연도 평균가 기준</t>
        </is>
      </c>
    </row>
    <row r="20" ht="18" customHeight="1">
      <c r="A20" s="16" t="inlineStr">
        <is>
          <t>코인</t>
        </is>
      </c>
      <c r="B20" s="17" t="inlineStr">
        <is>
          <t>BTC(별도)</t>
        </is>
      </c>
      <c r="C20" s="18">
        <f>IFERROR(VLOOKUP($B$3,코인보유수량!$A:$ZZ,MATCH("BTC(별도)",코인보유수량!$1:$1,0),TRUE),"-")</f>
        <v/>
      </c>
      <c r="D20" s="18">
        <f>IFERROR(VLOOKUP($B$3,코인연도별가격!$A:$ZZ,MATCH("BTC(별도)",코인연도별가격!$1:$1,0),TRUE),"-")</f>
        <v/>
      </c>
      <c r="E20" s="18">
        <f>IFERROR(IF(C20="-",0,C20*D20/1000000),0)</f>
        <v/>
      </c>
      <c r="F20" s="19" t="inlineStr">
        <is>
          <t>연도 평균가 기준</t>
        </is>
      </c>
    </row>
    <row r="21" ht="18" customHeight="1">
      <c r="A21" s="10" t="inlineStr">
        <is>
          <t>코인</t>
        </is>
      </c>
      <c r="B21" s="11" t="inlineStr">
        <is>
          <t>ETH</t>
        </is>
      </c>
      <c r="C21" s="12">
        <f>IFERROR(VLOOKUP($B$3,코인보유수량!$A:$ZZ,MATCH("ETH",코인보유수량!$1:$1,0),TRUE),"-")</f>
        <v/>
      </c>
      <c r="D21" s="12">
        <f>IFERROR(VLOOKUP($B$3,코인연도별가격!$A:$ZZ,MATCH("ETH",코인연도별가격!$1:$1,0),TRUE),"-")</f>
        <v/>
      </c>
      <c r="E21" s="12">
        <f>IFERROR(IF(C21="-",0,C21*D21/1000000),0)</f>
        <v/>
      </c>
      <c r="F21" s="13" t="inlineStr">
        <is>
          <t>연도 평균가 기준</t>
        </is>
      </c>
    </row>
    <row r="22" ht="18" customHeight="1">
      <c r="A22" s="16" t="inlineStr">
        <is>
          <t>코인</t>
        </is>
      </c>
      <c r="B22" s="17" t="inlineStr">
        <is>
          <t>BNB</t>
        </is>
      </c>
      <c r="C22" s="18">
        <f>IFERROR(VLOOKUP($B$3,코인보유수량!$A:$ZZ,MATCH("BNB",코인보유수량!$1:$1,0),TRUE),"-")</f>
        <v/>
      </c>
      <c r="D22" s="18">
        <f>IFERROR(VLOOKUP($B$3,코인연도별가격!$A:$ZZ,MATCH("BNB",코인연도별가격!$1:$1,0),TRUE),"-")</f>
        <v/>
      </c>
      <c r="E22" s="18">
        <f>IFERROR(IF(C22="-",0,C22*D22/1000000),0)</f>
        <v/>
      </c>
      <c r="F22" s="19" t="inlineStr">
        <is>
          <t>연도 평균가 기준</t>
        </is>
      </c>
    </row>
    <row r="23" ht="18" customHeight="1">
      <c r="A23" s="10" t="inlineStr">
        <is>
          <t>코인</t>
        </is>
      </c>
      <c r="B23" s="11" t="inlineStr">
        <is>
          <t>SOL</t>
        </is>
      </c>
      <c r="C23" s="12">
        <f>IFERROR(VLOOKUP($B$3,코인보유수량!$A:$ZZ,MATCH("SOL",코인보유수량!$1:$1,0),TRUE),"-")</f>
        <v/>
      </c>
      <c r="D23" s="12">
        <f>IFERROR(VLOOKUP($B$3,코인연도별가격!$A:$ZZ,MATCH("SOL",코인연도별가격!$1:$1,0),TRUE),"-")</f>
        <v/>
      </c>
      <c r="E23" s="12">
        <f>IFERROR(IF(C23="-",0,C23*D23/1000000),0)</f>
        <v/>
      </c>
      <c r="F23" s="13" t="inlineStr">
        <is>
          <t>연도 평균가 기준</t>
        </is>
      </c>
    </row>
    <row r="24" ht="18" customHeight="1">
      <c r="A24" s="16" t="inlineStr">
        <is>
          <t>코인</t>
        </is>
      </c>
      <c r="B24" s="17" t="inlineStr">
        <is>
          <t>XRP</t>
        </is>
      </c>
      <c r="C24" s="18">
        <f>IFERROR(VLOOKUP($B$3,코인보유수량!$A:$ZZ,MATCH("XRP",코인보유수량!$1:$1,0),TRUE),"-")</f>
        <v/>
      </c>
      <c r="D24" s="18">
        <f>IFERROR(VLOOKUP($B$3,코인연도별가격!$A:$ZZ,MATCH("XRP",코인연도별가격!$1:$1,0),TRUE),"-")</f>
        <v/>
      </c>
      <c r="E24" s="18">
        <f>IFERROR(IF(C24="-",0,C24*D24/1000000),0)</f>
        <v/>
      </c>
      <c r="F24" s="19" t="inlineStr">
        <is>
          <t>연도 평균가 기준</t>
        </is>
      </c>
    </row>
    <row r="25" ht="18" customHeight="1">
      <c r="A25" s="10" t="inlineStr">
        <is>
          <t>코인</t>
        </is>
      </c>
      <c r="B25" s="11" t="inlineStr">
        <is>
          <t>LINK</t>
        </is>
      </c>
      <c r="C25" s="12">
        <f>IFERROR(VLOOKUP($B$3,코인보유수량!$A:$ZZ,MATCH("LINK",코인보유수량!$1:$1,0),TRUE),"-")</f>
        <v/>
      </c>
      <c r="D25" s="12">
        <f>IFERROR(VLOOKUP($B$3,코인연도별가격!$A:$ZZ,MATCH("LINK",코인연도별가격!$1:$1,0),TRUE),"-")</f>
        <v/>
      </c>
      <c r="E25" s="12">
        <f>IFERROR(IF(C25="-",0,C25*D25/1000000),0)</f>
        <v/>
      </c>
      <c r="F25" s="13" t="inlineStr">
        <is>
          <t>연도 평균가 기준</t>
        </is>
      </c>
    </row>
    <row r="26" ht="20" customHeight="1">
      <c r="A26" s="14" t="inlineStr">
        <is>
          <t>코인 소계</t>
        </is>
      </c>
      <c r="E26" s="15">
        <f>SUM(E19:E25)</f>
        <v/>
      </c>
    </row>
    <row r="27" ht="18" customHeight="1">
      <c r="A27" s="20" t="inlineStr">
        <is>
          <t>부동산</t>
        </is>
      </c>
      <c r="B27" s="20" t="inlineStr">
        <is>
          <t>부동산 보유 평가액</t>
        </is>
      </c>
      <c r="C27" s="20" t="inlineStr">
        <is>
          <t>-</t>
        </is>
      </c>
      <c r="D27" s="20" t="inlineStr">
        <is>
          <t>-</t>
        </is>
      </c>
      <c r="E27" s="12">
        <f>IFERROR(VLOOKUP($B$3,연도별기타자산!$A:$D,2,TRUE),0)</f>
        <v/>
      </c>
      <c r="F27" s="20" t="inlineStr">
        <is>
          <t>연도 평균 기준</t>
        </is>
      </c>
    </row>
    <row r="28" ht="18" customHeight="1">
      <c r="A28" s="21" t="inlineStr">
        <is>
          <t>선물/숏/원자재</t>
        </is>
      </c>
      <c r="B28" s="21" t="inlineStr">
        <is>
          <t>누적 운용 자산</t>
        </is>
      </c>
      <c r="C28" s="21" t="inlineStr">
        <is>
          <t>-</t>
        </is>
      </c>
      <c r="D28" s="21" t="inlineStr">
        <is>
          <t>-</t>
        </is>
      </c>
      <c r="E28" s="22">
        <f>IFERROR(VLOOKUP($B$3,연도별기타자산!$A:$D,3,TRUE),0)</f>
        <v/>
      </c>
      <c r="F28" s="21" t="inlineStr">
        <is>
          <t>연도 평균 기준</t>
        </is>
      </c>
    </row>
    <row r="29" ht="18" customHeight="1">
      <c r="A29" s="20" t="inlineStr">
        <is>
          <t>운용사 지분</t>
        </is>
      </c>
      <c r="B29" s="20" t="inlineStr">
        <is>
          <t>지분 평가액</t>
        </is>
      </c>
      <c r="C29" s="20" t="inlineStr">
        <is>
          <t>-</t>
        </is>
      </c>
      <c r="D29" s="20" t="inlineStr">
        <is>
          <t>-</t>
        </is>
      </c>
      <c r="E29" s="12">
        <f>IFERROR(VLOOKUP($B$3,연도별기타자산!$A:$D,4,TRUE),0)</f>
        <v/>
      </c>
      <c r="F29" s="20" t="inlineStr">
        <is>
          <t>연도 평균 기준</t>
        </is>
      </c>
    </row>
    <row r="30" ht="18" customHeight="1">
      <c r="A30" s="21" t="inlineStr">
        <is>
          <t>활동자금 차감</t>
        </is>
      </c>
      <c r="B30" s="21" t="inlineStr">
        <is>
          <t>2005년 차감 (-$750M)</t>
        </is>
      </c>
      <c r="C30" s="21" t="inlineStr">
        <is>
          <t>-</t>
        </is>
      </c>
      <c r="D30" s="21" t="inlineStr">
        <is>
          <t>-</t>
        </is>
      </c>
      <c r="E30" s="22">
        <f>IF($B$3&gt;=2005,-750,0)</f>
        <v/>
      </c>
      <c r="F30" s="21" t="inlineStr">
        <is>
          <t>연도 평균 기준</t>
        </is>
      </c>
    </row>
    <row r="31" ht="28" customHeight="1">
      <c r="A31" s="23" t="inlineStr">
        <is>
          <t>▶ 총 자산 합계</t>
        </is>
      </c>
      <c r="E31" s="24">
        <f>E18+E26+SUM(E27:E30)</f>
        <v/>
      </c>
    </row>
  </sheetData>
  <mergeCells count="4">
    <mergeCell ref="A18:D18"/>
    <mergeCell ref="A26:D26"/>
    <mergeCell ref="A31:D3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0" customHeight="1">
      <c r="A1" s="25" t="inlineStr">
        <is>
          <t>주식 보유 수량 — 연도별 (VLOOKUP용)</t>
        </is>
      </c>
    </row>
    <row r="2">
      <c r="A2" s="5" t="inlineStr">
        <is>
          <t>연도</t>
        </is>
      </c>
      <c r="B2" s="5" t="inlineStr">
        <is>
          <t>AMZN</t>
        </is>
      </c>
      <c r="C2" s="5" t="inlineStr">
        <is>
          <t>AAPL</t>
        </is>
      </c>
      <c r="D2" s="5" t="inlineStr">
        <is>
          <t>GOOG</t>
        </is>
      </c>
      <c r="E2" s="5" t="inlineStr">
        <is>
          <t>NVDA</t>
        </is>
      </c>
      <c r="F2" s="5" t="inlineStr">
        <is>
          <t>NFLX</t>
        </is>
      </c>
      <c r="G2" s="5" t="inlineStr">
        <is>
          <t>TSLA</t>
        </is>
      </c>
      <c r="H2" s="5" t="inlineStr">
        <is>
          <t>BABA</t>
        </is>
      </c>
      <c r="I2" s="5" t="inlineStr">
        <is>
          <t>AMD</t>
        </is>
      </c>
      <c r="J2" s="5" t="inlineStr">
        <is>
          <t>META</t>
        </is>
      </c>
      <c r="K2" s="5" t="inlineStr">
        <is>
          <t>MSFT</t>
        </is>
      </c>
      <c r="L2" s="5" t="inlineStr">
        <is>
          <t>텐센트</t>
        </is>
      </c>
      <c r="M2" s="5" t="inlineStr">
        <is>
          <t>AVGO</t>
        </is>
      </c>
    </row>
    <row r="3" ht="16" customHeight="1">
      <c r="A3" s="11" t="n">
        <v>1999</v>
      </c>
      <c r="B3" s="26" t="n">
        <v>0</v>
      </c>
      <c r="C3" s="26" t="n">
        <v>0</v>
      </c>
      <c r="D3" s="26" t="n">
        <v>0</v>
      </c>
      <c r="E3" s="26" t="n">
        <v>80000000</v>
      </c>
      <c r="F3" s="26" t="n">
        <v>0</v>
      </c>
      <c r="G3" s="26" t="n">
        <v>0</v>
      </c>
      <c r="H3" s="26" t="n">
        <v>0</v>
      </c>
      <c r="I3" s="26" t="n">
        <v>0</v>
      </c>
      <c r="J3" s="26" t="n">
        <v>0</v>
      </c>
      <c r="K3" s="26" t="n">
        <v>0</v>
      </c>
      <c r="L3" s="26" t="n">
        <v>0</v>
      </c>
      <c r="M3" s="26" t="n">
        <v>0</v>
      </c>
    </row>
    <row r="4" ht="16" customHeight="1">
      <c r="A4" s="11" t="n">
        <v>2000</v>
      </c>
      <c r="B4" s="27" t="n">
        <v>800000</v>
      </c>
      <c r="C4" s="27" t="n">
        <v>8000000</v>
      </c>
      <c r="D4" s="27" t="n">
        <v>0</v>
      </c>
      <c r="E4" s="27" t="n">
        <v>80000000</v>
      </c>
      <c r="F4" s="27" t="n">
        <v>0</v>
      </c>
      <c r="G4" s="27" t="n">
        <v>0</v>
      </c>
      <c r="H4" s="27" t="n">
        <v>0</v>
      </c>
      <c r="I4" s="27" t="n">
        <v>0</v>
      </c>
      <c r="J4" s="27" t="n">
        <v>0</v>
      </c>
      <c r="K4" s="27" t="n">
        <v>0</v>
      </c>
      <c r="L4" s="27" t="n">
        <v>0</v>
      </c>
      <c r="M4" s="27" t="n">
        <v>0</v>
      </c>
    </row>
    <row r="5" ht="16" customHeight="1">
      <c r="A5" s="11" t="n">
        <v>2001</v>
      </c>
      <c r="B5" s="26" t="n">
        <v>800000</v>
      </c>
      <c r="C5" s="26" t="n">
        <v>8000000</v>
      </c>
      <c r="D5" s="26" t="n">
        <v>0</v>
      </c>
      <c r="E5" s="26" t="n">
        <v>80000000</v>
      </c>
      <c r="F5" s="26" t="n">
        <v>0</v>
      </c>
      <c r="G5" s="26" t="n">
        <v>0</v>
      </c>
      <c r="H5" s="26" t="n">
        <v>0</v>
      </c>
      <c r="I5" s="26" t="n">
        <v>0</v>
      </c>
      <c r="J5" s="26" t="n">
        <v>0</v>
      </c>
      <c r="K5" s="26" t="n">
        <v>0</v>
      </c>
      <c r="L5" s="26" t="n">
        <v>0</v>
      </c>
      <c r="M5" s="26" t="n">
        <v>0</v>
      </c>
    </row>
    <row r="6" ht="16" customHeight="1">
      <c r="A6" s="11" t="n">
        <v>2002</v>
      </c>
      <c r="B6" s="27" t="n">
        <v>1000000</v>
      </c>
      <c r="C6" s="27" t="n">
        <v>10000000</v>
      </c>
      <c r="D6" s="27" t="n">
        <v>0</v>
      </c>
      <c r="E6" s="27" t="n">
        <v>80000000</v>
      </c>
      <c r="F6" s="27" t="n">
        <v>0</v>
      </c>
      <c r="G6" s="27" t="n">
        <v>0</v>
      </c>
      <c r="H6" s="27" t="n">
        <v>0</v>
      </c>
      <c r="I6" s="27" t="n">
        <v>0</v>
      </c>
      <c r="J6" s="27" t="n">
        <v>0</v>
      </c>
      <c r="K6" s="27" t="n">
        <v>0</v>
      </c>
      <c r="L6" s="27" t="n">
        <v>0</v>
      </c>
      <c r="M6" s="27" t="n">
        <v>0</v>
      </c>
    </row>
    <row r="7" ht="16" customHeight="1">
      <c r="A7" s="11" t="n">
        <v>2003</v>
      </c>
      <c r="B7" s="26" t="n">
        <v>1000000</v>
      </c>
      <c r="C7" s="26" t="n">
        <v>10000000</v>
      </c>
      <c r="D7" s="26" t="n">
        <v>500000</v>
      </c>
      <c r="E7" s="26" t="n">
        <v>80000000</v>
      </c>
      <c r="F7" s="26" t="n">
        <v>5000000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0</v>
      </c>
      <c r="L7" s="26" t="n">
        <v>0</v>
      </c>
      <c r="M7" s="26" t="n">
        <v>0</v>
      </c>
    </row>
    <row r="8" ht="16" customHeight="1">
      <c r="A8" s="11" t="n">
        <v>2004</v>
      </c>
      <c r="B8" s="27" t="n">
        <v>1000000</v>
      </c>
      <c r="C8" s="27" t="n">
        <v>10000000</v>
      </c>
      <c r="D8" s="27" t="n">
        <v>700000</v>
      </c>
      <c r="E8" s="27" t="n">
        <v>80000000</v>
      </c>
      <c r="F8" s="27" t="n">
        <v>5000000</v>
      </c>
      <c r="G8" s="27" t="n">
        <v>0</v>
      </c>
      <c r="H8" s="27" t="n">
        <v>0</v>
      </c>
      <c r="I8" s="27" t="n">
        <v>0</v>
      </c>
      <c r="J8" s="27" t="n">
        <v>0</v>
      </c>
      <c r="K8" s="27" t="n">
        <v>0</v>
      </c>
      <c r="L8" s="27" t="n">
        <v>0</v>
      </c>
      <c r="M8" s="27" t="n">
        <v>0</v>
      </c>
    </row>
    <row r="9" ht="16" customHeight="1">
      <c r="A9" s="11" t="n">
        <v>2005</v>
      </c>
      <c r="B9" s="26" t="n">
        <v>1000000</v>
      </c>
      <c r="C9" s="26" t="n">
        <v>10000000</v>
      </c>
      <c r="D9" s="26" t="n">
        <v>700000</v>
      </c>
      <c r="E9" s="26" t="n">
        <v>80000000</v>
      </c>
      <c r="F9" s="26" t="n">
        <v>5000000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  <c r="L9" s="26" t="n">
        <v>0</v>
      </c>
      <c r="M9" s="26" t="n">
        <v>0</v>
      </c>
    </row>
    <row r="10" ht="16" customHeight="1">
      <c r="A10" s="11" t="n">
        <v>2006</v>
      </c>
      <c r="B10" s="27" t="n">
        <v>1000000</v>
      </c>
      <c r="C10" s="27" t="n">
        <v>10000000</v>
      </c>
      <c r="D10" s="27" t="n">
        <v>700000</v>
      </c>
      <c r="E10" s="27" t="n">
        <v>80000000</v>
      </c>
      <c r="F10" s="27" t="n">
        <v>5000000</v>
      </c>
      <c r="G10" s="27" t="n">
        <v>0</v>
      </c>
      <c r="H10" s="27" t="n">
        <v>0</v>
      </c>
      <c r="I10" s="27" t="n">
        <v>0</v>
      </c>
      <c r="J10" s="27" t="n">
        <v>0</v>
      </c>
      <c r="K10" s="27" t="n">
        <v>0</v>
      </c>
      <c r="L10" s="27" t="n">
        <v>70000000</v>
      </c>
      <c r="M10" s="27" t="n">
        <v>0</v>
      </c>
    </row>
    <row r="11" ht="16" customHeight="1">
      <c r="A11" s="11" t="n">
        <v>2007</v>
      </c>
      <c r="B11" s="26" t="n">
        <v>1000000</v>
      </c>
      <c r="C11" s="26" t="n">
        <v>10000000</v>
      </c>
      <c r="D11" s="26" t="n">
        <v>700000</v>
      </c>
      <c r="E11" s="26" t="n">
        <v>80000000</v>
      </c>
      <c r="F11" s="26" t="n">
        <v>5000000</v>
      </c>
      <c r="G11" s="26" t="n">
        <v>0</v>
      </c>
      <c r="H11" s="26" t="n">
        <v>0</v>
      </c>
      <c r="I11" s="26" t="n">
        <v>0</v>
      </c>
      <c r="J11" s="26" t="n">
        <v>0</v>
      </c>
      <c r="K11" s="26" t="n">
        <v>0</v>
      </c>
      <c r="L11" s="26" t="n">
        <v>70000000</v>
      </c>
      <c r="M11" s="26" t="n">
        <v>0</v>
      </c>
    </row>
    <row r="12" ht="16" customHeight="1">
      <c r="A12" s="11" t="n">
        <v>2008</v>
      </c>
      <c r="B12" s="27" t="n">
        <v>1000000</v>
      </c>
      <c r="C12" s="27" t="n">
        <v>10000000</v>
      </c>
      <c r="D12" s="27" t="n">
        <v>700000</v>
      </c>
      <c r="E12" s="27" t="n">
        <v>80000000</v>
      </c>
      <c r="F12" s="27" t="n">
        <v>5000000</v>
      </c>
      <c r="G12" s="27" t="n">
        <v>0</v>
      </c>
      <c r="H12" s="27" t="n">
        <v>0</v>
      </c>
      <c r="I12" s="27" t="n">
        <v>0</v>
      </c>
      <c r="J12" s="27" t="n">
        <v>0</v>
      </c>
      <c r="K12" s="27" t="n">
        <v>0</v>
      </c>
      <c r="L12" s="27" t="n">
        <v>70000000</v>
      </c>
      <c r="M12" s="27" t="n">
        <v>0</v>
      </c>
    </row>
    <row r="13" ht="16" customHeight="1">
      <c r="A13" s="11" t="n">
        <v>2009</v>
      </c>
      <c r="B13" s="26" t="n">
        <v>1000000</v>
      </c>
      <c r="C13" s="26" t="n">
        <v>10000000</v>
      </c>
      <c r="D13" s="26" t="n">
        <v>700000</v>
      </c>
      <c r="E13" s="26" t="n">
        <v>80000000</v>
      </c>
      <c r="F13" s="26" t="n">
        <v>5000000</v>
      </c>
      <c r="G13" s="26" t="n">
        <v>0</v>
      </c>
      <c r="H13" s="26" t="n">
        <v>0</v>
      </c>
      <c r="I13" s="26" t="n">
        <v>0</v>
      </c>
      <c r="J13" s="26" t="n">
        <v>0</v>
      </c>
      <c r="K13" s="26" t="n">
        <v>0</v>
      </c>
      <c r="L13" s="26" t="n">
        <v>70000000</v>
      </c>
      <c r="M13" s="26" t="n">
        <v>0</v>
      </c>
    </row>
    <row r="14" ht="16" customHeight="1">
      <c r="A14" s="11" t="n">
        <v>2010</v>
      </c>
      <c r="B14" s="27" t="n">
        <v>1000000</v>
      </c>
      <c r="C14" s="27" t="n">
        <v>10000000</v>
      </c>
      <c r="D14" s="27" t="n">
        <v>700000</v>
      </c>
      <c r="E14" s="27" t="n">
        <v>80000000</v>
      </c>
      <c r="F14" s="27" t="n">
        <v>5000000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0</v>
      </c>
      <c r="L14" s="27" t="n">
        <v>70000000</v>
      </c>
      <c r="M14" s="27" t="n">
        <v>0</v>
      </c>
    </row>
    <row r="15" ht="16" customHeight="1">
      <c r="A15" s="11" t="n">
        <v>2011</v>
      </c>
      <c r="B15" s="26" t="n">
        <v>1000000</v>
      </c>
      <c r="C15" s="26" t="n">
        <v>10000000</v>
      </c>
      <c r="D15" s="26" t="n">
        <v>700000</v>
      </c>
      <c r="E15" s="26" t="n">
        <v>80000000</v>
      </c>
      <c r="F15" s="26" t="n">
        <v>5000000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70000000</v>
      </c>
      <c r="M15" s="26" t="n">
        <v>0</v>
      </c>
    </row>
    <row r="16" ht="16" customHeight="1">
      <c r="A16" s="11" t="n">
        <v>2012</v>
      </c>
      <c r="B16" s="27" t="n">
        <v>1000000</v>
      </c>
      <c r="C16" s="27" t="n">
        <v>10000000</v>
      </c>
      <c r="D16" s="27" t="n">
        <v>700000</v>
      </c>
      <c r="E16" s="27" t="n">
        <v>80000000</v>
      </c>
      <c r="F16" s="27" t="n">
        <v>5000000</v>
      </c>
      <c r="G16" s="27" t="n">
        <v>8000000</v>
      </c>
      <c r="H16" s="27" t="n">
        <v>0</v>
      </c>
      <c r="I16" s="27" t="n">
        <v>0</v>
      </c>
      <c r="J16" s="27" t="n">
        <v>8000000</v>
      </c>
      <c r="K16" s="27" t="n">
        <v>7000000</v>
      </c>
      <c r="L16" s="27" t="n">
        <v>70000000</v>
      </c>
      <c r="M16" s="27" t="n">
        <v>4000000</v>
      </c>
    </row>
    <row r="17" ht="16" customHeight="1">
      <c r="A17" s="11" t="n">
        <v>2013</v>
      </c>
      <c r="B17" s="26" t="n">
        <v>1000000</v>
      </c>
      <c r="C17" s="26" t="n">
        <v>10000000</v>
      </c>
      <c r="D17" s="26" t="n">
        <v>700000</v>
      </c>
      <c r="E17" s="26" t="n">
        <v>80000000</v>
      </c>
      <c r="F17" s="26" t="n">
        <v>5000000</v>
      </c>
      <c r="G17" s="26" t="n">
        <v>8000000</v>
      </c>
      <c r="H17" s="26" t="n">
        <v>0</v>
      </c>
      <c r="I17" s="26" t="n">
        <v>0</v>
      </c>
      <c r="J17" s="26" t="n">
        <v>8000000</v>
      </c>
      <c r="K17" s="26" t="n">
        <v>7000000</v>
      </c>
      <c r="L17" s="26" t="n">
        <v>70000000</v>
      </c>
      <c r="M17" s="26" t="n">
        <v>4000000</v>
      </c>
    </row>
    <row r="18" ht="16" customHeight="1">
      <c r="A18" s="11" t="n">
        <v>2014</v>
      </c>
      <c r="B18" s="27" t="n">
        <v>1000000</v>
      </c>
      <c r="C18" s="27" t="n">
        <v>10000000</v>
      </c>
      <c r="D18" s="27" t="n">
        <v>700000</v>
      </c>
      <c r="E18" s="27" t="n">
        <v>80000000</v>
      </c>
      <c r="F18" s="27" t="n">
        <v>5000000</v>
      </c>
      <c r="G18" s="27" t="n">
        <v>8000000</v>
      </c>
      <c r="H18" s="27" t="n">
        <v>800000</v>
      </c>
      <c r="I18" s="27" t="n">
        <v>0</v>
      </c>
      <c r="J18" s="27" t="n">
        <v>8000000</v>
      </c>
      <c r="K18" s="27" t="n">
        <v>7000000</v>
      </c>
      <c r="L18" s="27" t="n">
        <v>70000000</v>
      </c>
      <c r="M18" s="27" t="n">
        <v>4000000</v>
      </c>
    </row>
    <row r="19" ht="16" customHeight="1">
      <c r="A19" s="11" t="n">
        <v>2015</v>
      </c>
      <c r="B19" s="26" t="n">
        <v>1000000</v>
      </c>
      <c r="C19" s="26" t="n">
        <v>10000000</v>
      </c>
      <c r="D19" s="26" t="n">
        <v>700000</v>
      </c>
      <c r="E19" s="26" t="n">
        <v>80000000</v>
      </c>
      <c r="F19" s="26" t="n">
        <v>5000000</v>
      </c>
      <c r="G19" s="26" t="n">
        <v>8000000</v>
      </c>
      <c r="H19" s="26" t="n">
        <v>800000</v>
      </c>
      <c r="I19" s="26" t="n">
        <v>20000000</v>
      </c>
      <c r="J19" s="26" t="n">
        <v>8000000</v>
      </c>
      <c r="K19" s="26" t="n">
        <v>7000000</v>
      </c>
      <c r="L19" s="26" t="n">
        <v>70000000</v>
      </c>
      <c r="M19" s="26" t="n">
        <v>4000000</v>
      </c>
    </row>
    <row r="20" ht="16" customHeight="1">
      <c r="A20" s="11" t="n">
        <v>2016</v>
      </c>
      <c r="B20" s="27" t="n">
        <v>1000000</v>
      </c>
      <c r="C20" s="27" t="n">
        <v>10000000</v>
      </c>
      <c r="D20" s="27" t="n">
        <v>700000</v>
      </c>
      <c r="E20" s="27" t="n">
        <v>80000000</v>
      </c>
      <c r="F20" s="27" t="n">
        <v>5000000</v>
      </c>
      <c r="G20" s="27" t="n">
        <v>8000000</v>
      </c>
      <c r="H20" s="27" t="n">
        <v>800000</v>
      </c>
      <c r="I20" s="27" t="n">
        <v>20000000</v>
      </c>
      <c r="J20" s="27" t="n">
        <v>8000000</v>
      </c>
      <c r="K20" s="27" t="n">
        <v>7000000</v>
      </c>
      <c r="L20" s="27" t="n">
        <v>70000000</v>
      </c>
      <c r="M20" s="27" t="n">
        <v>4000000</v>
      </c>
    </row>
    <row r="21" ht="16" customHeight="1">
      <c r="A21" s="11" t="n">
        <v>2017</v>
      </c>
      <c r="B21" s="26" t="n">
        <v>1000000</v>
      </c>
      <c r="C21" s="26" t="n">
        <v>10000000</v>
      </c>
      <c r="D21" s="26" t="n">
        <v>700000</v>
      </c>
      <c r="E21" s="26" t="n">
        <v>80000000</v>
      </c>
      <c r="F21" s="26" t="n">
        <v>5000000</v>
      </c>
      <c r="G21" s="26" t="n">
        <v>8000000</v>
      </c>
      <c r="H21" s="26" t="n">
        <v>800000</v>
      </c>
      <c r="I21" s="26" t="n">
        <v>20000000</v>
      </c>
      <c r="J21" s="26" t="n">
        <v>8000000</v>
      </c>
      <c r="K21" s="26" t="n">
        <v>7000000</v>
      </c>
      <c r="L21" s="26" t="n">
        <v>70000000</v>
      </c>
      <c r="M21" s="26" t="n">
        <v>4000000</v>
      </c>
    </row>
    <row r="22" ht="16" customHeight="1">
      <c r="A22" s="11" t="n">
        <v>2018</v>
      </c>
      <c r="B22" s="27" t="n">
        <v>1000000</v>
      </c>
      <c r="C22" s="27" t="n">
        <v>10000000</v>
      </c>
      <c r="D22" s="27" t="n">
        <v>700000</v>
      </c>
      <c r="E22" s="27" t="n">
        <v>80000000</v>
      </c>
      <c r="F22" s="27" t="n">
        <v>5000000</v>
      </c>
      <c r="G22" s="27" t="n">
        <v>8000000</v>
      </c>
      <c r="H22" s="27" t="n">
        <v>800000</v>
      </c>
      <c r="I22" s="27" t="n">
        <v>20000000</v>
      </c>
      <c r="J22" s="27" t="n">
        <v>8000000</v>
      </c>
      <c r="K22" s="27" t="n">
        <v>7000000</v>
      </c>
      <c r="L22" s="27" t="n">
        <v>70000000</v>
      </c>
      <c r="M22" s="27" t="n">
        <v>4000000</v>
      </c>
    </row>
    <row r="23" ht="16" customHeight="1">
      <c r="A23" s="11" t="n">
        <v>2019</v>
      </c>
      <c r="B23" s="26" t="n">
        <v>1000000</v>
      </c>
      <c r="C23" s="26" t="n">
        <v>10000000</v>
      </c>
      <c r="D23" s="26" t="n">
        <v>700000</v>
      </c>
      <c r="E23" s="26" t="n">
        <v>80000000</v>
      </c>
      <c r="F23" s="26" t="n">
        <v>5000000</v>
      </c>
      <c r="G23" s="26" t="n">
        <v>8000000</v>
      </c>
      <c r="H23" s="26" t="n">
        <v>800000</v>
      </c>
      <c r="I23" s="26" t="n">
        <v>20000000</v>
      </c>
      <c r="J23" s="26" t="n">
        <v>8000000</v>
      </c>
      <c r="K23" s="26" t="n">
        <v>7000000</v>
      </c>
      <c r="L23" s="26" t="n">
        <v>70000000</v>
      </c>
      <c r="M23" s="26" t="n">
        <v>4000000</v>
      </c>
    </row>
    <row r="24" ht="16" customHeight="1">
      <c r="A24" s="11" t="n">
        <v>2020</v>
      </c>
      <c r="B24" s="27" t="n">
        <v>1000000</v>
      </c>
      <c r="C24" s="27" t="n">
        <v>10000000</v>
      </c>
      <c r="D24" s="27" t="n">
        <v>700000</v>
      </c>
      <c r="E24" s="27" t="n">
        <v>80000000</v>
      </c>
      <c r="F24" s="27" t="n">
        <v>5000000</v>
      </c>
      <c r="G24" s="27" t="n">
        <v>8000000</v>
      </c>
      <c r="H24" s="27" t="n">
        <v>800000</v>
      </c>
      <c r="I24" s="27" t="n">
        <v>20000000</v>
      </c>
      <c r="J24" s="27" t="n">
        <v>8000000</v>
      </c>
      <c r="K24" s="27" t="n">
        <v>7000000</v>
      </c>
      <c r="L24" s="27" t="n">
        <v>70000000</v>
      </c>
      <c r="M24" s="27" t="n">
        <v>4000000</v>
      </c>
    </row>
    <row r="25" ht="16" customHeight="1">
      <c r="A25" s="11" t="n">
        <v>2021</v>
      </c>
      <c r="B25" s="26" t="n">
        <v>500000</v>
      </c>
      <c r="C25" s="26" t="n">
        <v>5000000</v>
      </c>
      <c r="D25" s="26" t="n">
        <v>350000</v>
      </c>
      <c r="E25" s="26" t="n">
        <v>40000000</v>
      </c>
      <c r="F25" s="26" t="n">
        <v>2500000</v>
      </c>
      <c r="G25" s="26" t="n">
        <v>4000000</v>
      </c>
      <c r="H25" s="26" t="n">
        <v>800000</v>
      </c>
      <c r="I25" s="26" t="n">
        <v>10000000</v>
      </c>
      <c r="J25" s="26" t="n">
        <v>4000000</v>
      </c>
      <c r="K25" s="26" t="n">
        <v>4000000</v>
      </c>
      <c r="L25" s="26" t="n">
        <v>35000000</v>
      </c>
      <c r="M25" s="26" t="n">
        <v>2000000</v>
      </c>
    </row>
    <row r="26" ht="16" customHeight="1">
      <c r="A26" s="11" t="n">
        <v>2022</v>
      </c>
      <c r="B26" s="27" t="n">
        <v>500000</v>
      </c>
      <c r="C26" s="27" t="n">
        <v>5000000</v>
      </c>
      <c r="D26" s="27" t="n">
        <v>350000</v>
      </c>
      <c r="E26" s="27" t="n">
        <v>40000000</v>
      </c>
      <c r="F26" s="27" t="n">
        <v>2500000</v>
      </c>
      <c r="G26" s="27" t="n">
        <v>4000000</v>
      </c>
      <c r="H26" s="27" t="n">
        <v>800000</v>
      </c>
      <c r="I26" s="27" t="n">
        <v>10000000</v>
      </c>
      <c r="J26" s="27" t="n">
        <v>4000000</v>
      </c>
      <c r="K26" s="27" t="n">
        <v>4000000</v>
      </c>
      <c r="L26" s="27" t="n">
        <v>35000000</v>
      </c>
      <c r="M26" s="27" t="n">
        <v>2000000</v>
      </c>
    </row>
    <row r="27" ht="16" customHeight="1">
      <c r="A27" s="11" t="n">
        <v>2023</v>
      </c>
      <c r="B27" s="26" t="n">
        <v>500000</v>
      </c>
      <c r="C27" s="26" t="n">
        <v>5000000</v>
      </c>
      <c r="D27" s="26" t="n">
        <v>350000</v>
      </c>
      <c r="E27" s="26" t="n">
        <v>20000000</v>
      </c>
      <c r="F27" s="26" t="n">
        <v>2500000</v>
      </c>
      <c r="G27" s="26" t="n">
        <v>4000000</v>
      </c>
      <c r="H27" s="26" t="n">
        <v>800000</v>
      </c>
      <c r="I27" s="26" t="n">
        <v>15000000</v>
      </c>
      <c r="J27" s="26" t="n">
        <v>6000000</v>
      </c>
      <c r="K27" s="26" t="n">
        <v>7000000</v>
      </c>
      <c r="L27" s="26" t="n">
        <v>55000000</v>
      </c>
      <c r="M27" s="26" t="n">
        <v>3000000</v>
      </c>
    </row>
    <row r="28" ht="16" customHeight="1">
      <c r="A28" s="11" t="n">
        <v>2024</v>
      </c>
      <c r="B28" s="27" t="n">
        <v>500000</v>
      </c>
      <c r="C28" s="27" t="n">
        <v>5000000</v>
      </c>
      <c r="D28" s="27" t="n">
        <v>350000</v>
      </c>
      <c r="E28" s="27" t="n">
        <v>20000000</v>
      </c>
      <c r="F28" s="27" t="n">
        <v>2500000</v>
      </c>
      <c r="G28" s="27" t="n">
        <v>4000000</v>
      </c>
      <c r="H28" s="27" t="n">
        <v>800000</v>
      </c>
      <c r="I28" s="27" t="n">
        <v>15000000</v>
      </c>
      <c r="J28" s="27" t="n">
        <v>6000000</v>
      </c>
      <c r="K28" s="27" t="n">
        <v>7000000</v>
      </c>
      <c r="L28" s="27" t="n">
        <v>55000000</v>
      </c>
      <c r="M28" s="27" t="n">
        <v>3000000</v>
      </c>
    </row>
  </sheetData>
  <mergeCells count="1"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25" t="inlineStr">
        <is>
          <t>주식 연도별 평균가 ($) — 분할조정 반영</t>
        </is>
      </c>
    </row>
    <row r="2">
      <c r="A2" s="5" t="inlineStr">
        <is>
          <t>연도</t>
        </is>
      </c>
      <c r="B2" s="5" t="inlineStr">
        <is>
          <t>AMZN</t>
        </is>
      </c>
      <c r="C2" s="5" t="inlineStr">
        <is>
          <t>AAPL</t>
        </is>
      </c>
      <c r="D2" s="5" t="inlineStr">
        <is>
          <t>GOOG</t>
        </is>
      </c>
      <c r="E2" s="5" t="inlineStr">
        <is>
          <t>NVDA</t>
        </is>
      </c>
      <c r="F2" s="5" t="inlineStr">
        <is>
          <t>NFLX</t>
        </is>
      </c>
      <c r="G2" s="5" t="inlineStr">
        <is>
          <t>TSLA</t>
        </is>
      </c>
      <c r="H2" s="5" t="inlineStr">
        <is>
          <t>BABA</t>
        </is>
      </c>
      <c r="I2" s="5" t="inlineStr">
        <is>
          <t>AMD</t>
        </is>
      </c>
      <c r="J2" s="5" t="inlineStr">
        <is>
          <t>META</t>
        </is>
      </c>
      <c r="K2" s="5" t="inlineStr">
        <is>
          <t>MSFT</t>
        </is>
      </c>
      <c r="L2" s="5" t="inlineStr">
        <is>
          <t>텐센트</t>
        </is>
      </c>
      <c r="M2" s="5" t="inlineStr">
        <is>
          <t>AVGO</t>
        </is>
      </c>
    </row>
    <row r="3" ht="16" customHeight="1">
      <c r="A3" s="11" t="n">
        <v>1999</v>
      </c>
      <c r="B3" s="26" t="n">
        <v>5</v>
      </c>
      <c r="C3" s="26" t="n">
        <v>0.7</v>
      </c>
      <c r="D3" s="26" t="n">
        <v>0</v>
      </c>
      <c r="E3" s="26" t="n">
        <v>0.04</v>
      </c>
      <c r="F3" s="26" t="n">
        <v>0</v>
      </c>
      <c r="G3" s="26" t="n">
        <v>0</v>
      </c>
      <c r="H3" s="26" t="n">
        <v>0</v>
      </c>
      <c r="I3" s="26" t="n">
        <v>0</v>
      </c>
      <c r="J3" s="26" t="n">
        <v>0</v>
      </c>
      <c r="K3" s="26" t="n">
        <v>35</v>
      </c>
      <c r="L3" s="26" t="n">
        <v>0.1</v>
      </c>
      <c r="M3" s="26" t="n">
        <v>0</v>
      </c>
    </row>
    <row r="4" ht="16" customHeight="1">
      <c r="A4" s="11" t="n">
        <v>2000</v>
      </c>
      <c r="B4" s="27" t="n">
        <v>20</v>
      </c>
      <c r="C4" s="27" t="n">
        <v>1</v>
      </c>
      <c r="D4" s="27" t="n">
        <v>0</v>
      </c>
      <c r="E4" s="27" t="n">
        <v>0.25</v>
      </c>
      <c r="F4" s="27" t="n">
        <v>0</v>
      </c>
      <c r="G4" s="27" t="n">
        <v>0</v>
      </c>
      <c r="H4" s="27" t="n">
        <v>0</v>
      </c>
      <c r="I4" s="27" t="n">
        <v>0</v>
      </c>
      <c r="J4" s="27" t="n">
        <v>0</v>
      </c>
      <c r="K4" s="27" t="n">
        <v>22</v>
      </c>
      <c r="L4" s="27" t="n">
        <v>0.15</v>
      </c>
      <c r="M4" s="27" t="n">
        <v>0</v>
      </c>
    </row>
    <row r="5" ht="16" customHeight="1">
      <c r="A5" s="11" t="n">
        <v>2001</v>
      </c>
      <c r="B5" s="26" t="n">
        <v>8</v>
      </c>
      <c r="C5" s="26" t="n">
        <v>0.7</v>
      </c>
      <c r="D5" s="26" t="n">
        <v>0</v>
      </c>
      <c r="E5" s="26" t="n">
        <v>0.12</v>
      </c>
      <c r="F5" s="26" t="n">
        <v>0</v>
      </c>
      <c r="G5" s="26" t="n">
        <v>0</v>
      </c>
      <c r="H5" s="26" t="n">
        <v>0</v>
      </c>
      <c r="I5" s="26" t="n">
        <v>0</v>
      </c>
      <c r="J5" s="26" t="n">
        <v>0</v>
      </c>
      <c r="K5" s="26" t="n">
        <v>26</v>
      </c>
      <c r="L5" s="26" t="n">
        <v>0.2</v>
      </c>
      <c r="M5" s="26" t="n">
        <v>0</v>
      </c>
    </row>
    <row r="6" ht="16" customHeight="1">
      <c r="A6" s="11" t="n">
        <v>2002</v>
      </c>
      <c r="B6" s="27" t="n">
        <v>12</v>
      </c>
      <c r="C6" s="27" t="n">
        <v>0.9</v>
      </c>
      <c r="D6" s="27" t="n">
        <v>0</v>
      </c>
      <c r="E6" s="27" t="n">
        <v>0.08</v>
      </c>
      <c r="F6" s="27" t="n">
        <v>0</v>
      </c>
      <c r="G6" s="27" t="n">
        <v>0</v>
      </c>
      <c r="H6" s="27" t="n">
        <v>0</v>
      </c>
      <c r="I6" s="27" t="n">
        <v>0</v>
      </c>
      <c r="J6" s="27" t="n">
        <v>0</v>
      </c>
      <c r="K6" s="27" t="n">
        <v>24</v>
      </c>
      <c r="L6" s="27" t="n">
        <v>0.3</v>
      </c>
      <c r="M6" s="27" t="n">
        <v>0</v>
      </c>
    </row>
    <row r="7" ht="16" customHeight="1">
      <c r="A7" s="11" t="n">
        <v>2003</v>
      </c>
      <c r="B7" s="26" t="n">
        <v>27</v>
      </c>
      <c r="C7" s="26" t="n">
        <v>1.1</v>
      </c>
      <c r="D7" s="26" t="n">
        <v>0</v>
      </c>
      <c r="E7" s="26" t="n">
        <v>0.15</v>
      </c>
      <c r="F7" s="26" t="n">
        <v>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26</v>
      </c>
      <c r="L7" s="26" t="n">
        <v>0.5</v>
      </c>
      <c r="M7" s="26" t="n">
        <v>0</v>
      </c>
    </row>
    <row r="8" ht="16" customHeight="1">
      <c r="A8" s="11" t="n">
        <v>2004</v>
      </c>
      <c r="B8" s="27" t="n">
        <v>44</v>
      </c>
      <c r="C8" s="27" t="n">
        <v>1.8</v>
      </c>
      <c r="D8" s="27" t="n">
        <v>100</v>
      </c>
      <c r="E8" s="27" t="n">
        <v>0.35</v>
      </c>
      <c r="F8" s="27" t="n">
        <v>0</v>
      </c>
      <c r="G8" s="27" t="n">
        <v>0</v>
      </c>
      <c r="H8" s="27" t="n">
        <v>0</v>
      </c>
      <c r="I8" s="27" t="n">
        <v>0</v>
      </c>
      <c r="J8" s="27" t="n">
        <v>0</v>
      </c>
      <c r="K8" s="27" t="n">
        <v>28</v>
      </c>
      <c r="L8" s="27" t="n">
        <v>1</v>
      </c>
      <c r="M8" s="27" t="n">
        <v>0</v>
      </c>
    </row>
    <row r="9" ht="16" customHeight="1">
      <c r="A9" s="11" t="n">
        <v>2005</v>
      </c>
      <c r="B9" s="26" t="n">
        <v>47</v>
      </c>
      <c r="C9" s="26" t="n">
        <v>2.5</v>
      </c>
      <c r="D9" s="26" t="n">
        <v>150</v>
      </c>
      <c r="E9" s="26" t="n">
        <v>0.5</v>
      </c>
      <c r="F9" s="26" t="n">
        <v>0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26</v>
      </c>
      <c r="L9" s="26" t="n">
        <v>1.5</v>
      </c>
      <c r="M9" s="26" t="n">
        <v>0</v>
      </c>
    </row>
    <row r="10" ht="16" customHeight="1">
      <c r="A10" s="11" t="n">
        <v>2006</v>
      </c>
      <c r="B10" s="27" t="n">
        <v>37</v>
      </c>
      <c r="C10" s="27" t="n">
        <v>3.8</v>
      </c>
      <c r="D10" s="27" t="n">
        <v>230</v>
      </c>
      <c r="E10" s="27" t="n">
        <v>0.65</v>
      </c>
      <c r="F10" s="27" t="n">
        <v>0</v>
      </c>
      <c r="G10" s="27" t="n">
        <v>0</v>
      </c>
      <c r="H10" s="27" t="n">
        <v>0</v>
      </c>
      <c r="I10" s="27" t="n">
        <v>0</v>
      </c>
      <c r="J10" s="27" t="n">
        <v>0</v>
      </c>
      <c r="K10" s="27" t="n">
        <v>24</v>
      </c>
      <c r="L10" s="27" t="n">
        <v>2.5</v>
      </c>
      <c r="M10" s="27" t="n">
        <v>0</v>
      </c>
    </row>
    <row r="11" ht="16" customHeight="1">
      <c r="A11" s="11" t="n">
        <v>2007</v>
      </c>
      <c r="B11" s="26" t="n">
        <v>90</v>
      </c>
      <c r="C11" s="26" t="n">
        <v>5.5</v>
      </c>
      <c r="D11" s="26" t="n">
        <v>360</v>
      </c>
      <c r="E11" s="26" t="n">
        <v>0.8</v>
      </c>
      <c r="F11" s="26" t="n">
        <v>0</v>
      </c>
      <c r="G11" s="26" t="n">
        <v>0</v>
      </c>
      <c r="H11" s="26" t="n">
        <v>0</v>
      </c>
      <c r="I11" s="26" t="n">
        <v>0</v>
      </c>
      <c r="J11" s="26" t="n">
        <v>0</v>
      </c>
      <c r="K11" s="26" t="n">
        <v>30</v>
      </c>
      <c r="L11" s="26" t="n">
        <v>5</v>
      </c>
      <c r="M11" s="26" t="n">
        <v>0</v>
      </c>
    </row>
    <row r="12" ht="16" customHeight="1">
      <c r="A12" s="11" t="n">
        <v>2008</v>
      </c>
      <c r="B12" s="27" t="n">
        <v>48</v>
      </c>
      <c r="C12" s="27" t="n">
        <v>3.5</v>
      </c>
      <c r="D12" s="27" t="n">
        <v>220</v>
      </c>
      <c r="E12" s="27" t="n">
        <v>0.45</v>
      </c>
      <c r="F12" s="27" t="n">
        <v>0</v>
      </c>
      <c r="G12" s="27" t="n">
        <v>0</v>
      </c>
      <c r="H12" s="27" t="n">
        <v>0</v>
      </c>
      <c r="I12" s="27" t="n">
        <v>0</v>
      </c>
      <c r="J12" s="27" t="n">
        <v>0</v>
      </c>
      <c r="K12" s="27" t="n">
        <v>20</v>
      </c>
      <c r="L12" s="27" t="n">
        <v>3.5</v>
      </c>
      <c r="M12" s="27" t="n">
        <v>0</v>
      </c>
    </row>
    <row r="13" ht="16" customHeight="1">
      <c r="A13" s="11" t="n">
        <v>2009</v>
      </c>
      <c r="B13" s="26" t="n">
        <v>135</v>
      </c>
      <c r="C13" s="26" t="n">
        <v>5.5</v>
      </c>
      <c r="D13" s="26" t="n">
        <v>310</v>
      </c>
      <c r="E13" s="26" t="n">
        <v>0.55</v>
      </c>
      <c r="F13" s="26" t="n">
        <v>0</v>
      </c>
      <c r="G13" s="26" t="n">
        <v>0</v>
      </c>
      <c r="H13" s="26" t="n">
        <v>0</v>
      </c>
      <c r="I13" s="26" t="n">
        <v>0</v>
      </c>
      <c r="J13" s="26" t="n">
        <v>0</v>
      </c>
      <c r="K13" s="26" t="n">
        <v>28</v>
      </c>
      <c r="L13" s="26" t="n">
        <v>5.5</v>
      </c>
      <c r="M13" s="26" t="n">
        <v>0</v>
      </c>
    </row>
    <row r="14" ht="16" customHeight="1">
      <c r="A14" s="11" t="n">
        <v>2010</v>
      </c>
      <c r="B14" s="27" t="n">
        <v>180</v>
      </c>
      <c r="C14" s="27" t="n">
        <v>9</v>
      </c>
      <c r="D14" s="27" t="n">
        <v>430</v>
      </c>
      <c r="E14" s="27" t="n">
        <v>0.6</v>
      </c>
      <c r="F14" s="27" t="n">
        <v>0</v>
      </c>
      <c r="G14" s="27" t="n">
        <v>0</v>
      </c>
      <c r="H14" s="27" t="n">
        <v>0</v>
      </c>
      <c r="I14" s="27" t="n">
        <v>0</v>
      </c>
      <c r="J14" s="27" t="n">
        <v>0</v>
      </c>
      <c r="K14" s="27" t="n">
        <v>27</v>
      </c>
      <c r="L14" s="27" t="n">
        <v>8</v>
      </c>
      <c r="M14" s="27" t="n">
        <v>0</v>
      </c>
    </row>
    <row r="15" ht="16" customHeight="1">
      <c r="A15" s="11" t="n">
        <v>2011</v>
      </c>
      <c r="B15" s="26" t="n">
        <v>198</v>
      </c>
      <c r="C15" s="26" t="n">
        <v>12</v>
      </c>
      <c r="D15" s="26" t="n">
        <v>530</v>
      </c>
      <c r="E15" s="26" t="n">
        <v>0.65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25</v>
      </c>
      <c r="L15" s="26" t="n">
        <v>10</v>
      </c>
      <c r="M15" s="26" t="n">
        <v>0</v>
      </c>
    </row>
    <row r="16" ht="16" customHeight="1">
      <c r="A16" s="11" t="n">
        <v>2012</v>
      </c>
      <c r="B16" s="27" t="n">
        <v>230</v>
      </c>
      <c r="C16" s="27" t="n">
        <v>20</v>
      </c>
      <c r="D16" s="27" t="n">
        <v>350</v>
      </c>
      <c r="E16" s="27" t="n">
        <v>0.6</v>
      </c>
      <c r="F16" s="27" t="n">
        <v>0</v>
      </c>
      <c r="G16" s="27" t="n">
        <v>3.5</v>
      </c>
      <c r="H16" s="27" t="n">
        <v>0</v>
      </c>
      <c r="I16" s="27" t="n">
        <v>2.5</v>
      </c>
      <c r="J16" s="27" t="n">
        <v>18</v>
      </c>
      <c r="K16" s="27" t="n">
        <v>29</v>
      </c>
      <c r="L16" s="27" t="n">
        <v>12</v>
      </c>
      <c r="M16" s="27" t="n">
        <v>30</v>
      </c>
    </row>
    <row r="17" ht="16" customHeight="1">
      <c r="A17" s="11" t="n">
        <v>2013</v>
      </c>
      <c r="B17" s="26" t="n">
        <v>300</v>
      </c>
      <c r="C17" s="26" t="n">
        <v>17</v>
      </c>
      <c r="D17" s="26" t="n">
        <v>520</v>
      </c>
      <c r="E17" s="26" t="n">
        <v>1.5</v>
      </c>
      <c r="F17" s="26" t="n">
        <v>0</v>
      </c>
      <c r="G17" s="26" t="n">
        <v>15</v>
      </c>
      <c r="H17" s="26" t="n">
        <v>0</v>
      </c>
      <c r="I17" s="26" t="n">
        <v>3.5</v>
      </c>
      <c r="J17" s="26" t="n">
        <v>55</v>
      </c>
      <c r="K17" s="26" t="n">
        <v>35</v>
      </c>
      <c r="L17" s="26" t="n">
        <v>18</v>
      </c>
      <c r="M17" s="26" t="n">
        <v>45</v>
      </c>
    </row>
    <row r="18" ht="16" customHeight="1">
      <c r="A18" s="11" t="n">
        <v>2014</v>
      </c>
      <c r="B18" s="27" t="n">
        <v>330</v>
      </c>
      <c r="C18" s="27" t="n">
        <v>23</v>
      </c>
      <c r="D18" s="27" t="n">
        <v>560</v>
      </c>
      <c r="E18" s="27" t="n">
        <v>0.55</v>
      </c>
      <c r="F18" s="27" t="n">
        <v>55</v>
      </c>
      <c r="G18" s="27" t="n">
        <v>30</v>
      </c>
      <c r="H18" s="27" t="n">
        <v>95</v>
      </c>
      <c r="I18" s="27" t="n">
        <v>3</v>
      </c>
      <c r="J18" s="27" t="n">
        <v>70</v>
      </c>
      <c r="K18" s="27" t="n">
        <v>44</v>
      </c>
      <c r="L18" s="27" t="n">
        <v>22</v>
      </c>
      <c r="M18" s="27" t="n">
        <v>55</v>
      </c>
    </row>
    <row r="19" ht="16" customHeight="1">
      <c r="A19" s="11" t="n">
        <v>2015</v>
      </c>
      <c r="B19" s="26" t="n">
        <v>680</v>
      </c>
      <c r="C19" s="26" t="n">
        <v>28</v>
      </c>
      <c r="D19" s="26" t="n">
        <v>650</v>
      </c>
      <c r="E19" s="26" t="n">
        <v>0.6</v>
      </c>
      <c r="F19" s="26" t="n">
        <v>115</v>
      </c>
      <c r="G19" s="26" t="n">
        <v>50</v>
      </c>
      <c r="H19" s="26" t="n">
        <v>80</v>
      </c>
      <c r="I19" s="26" t="n">
        <v>2.5</v>
      </c>
      <c r="J19" s="26" t="n">
        <v>90</v>
      </c>
      <c r="K19" s="26" t="n">
        <v>50</v>
      </c>
      <c r="L19" s="26" t="n">
        <v>20</v>
      </c>
      <c r="M19" s="26" t="n">
        <v>130</v>
      </c>
    </row>
    <row r="20" ht="16" customHeight="1">
      <c r="A20" s="11" t="n">
        <v>2016</v>
      </c>
      <c r="B20" s="27" t="n">
        <v>750</v>
      </c>
      <c r="C20" s="27" t="n">
        <v>26</v>
      </c>
      <c r="D20" s="27" t="n">
        <v>790</v>
      </c>
      <c r="E20" s="27" t="n">
        <v>0.7</v>
      </c>
      <c r="F20" s="27" t="n">
        <v>120</v>
      </c>
      <c r="G20" s="27" t="n">
        <v>42</v>
      </c>
      <c r="H20" s="27" t="n">
        <v>75</v>
      </c>
      <c r="I20" s="27" t="n">
        <v>6</v>
      </c>
      <c r="J20" s="27" t="n">
        <v>115</v>
      </c>
      <c r="K20" s="27" t="n">
        <v>60</v>
      </c>
      <c r="L20" s="27" t="n">
        <v>25</v>
      </c>
      <c r="M20" s="27" t="n">
        <v>160</v>
      </c>
    </row>
    <row r="21" ht="16" customHeight="1">
      <c r="A21" s="11" t="n">
        <v>2017</v>
      </c>
      <c r="B21" s="26" t="n">
        <v>1120</v>
      </c>
      <c r="C21" s="26" t="n">
        <v>38</v>
      </c>
      <c r="D21" s="26" t="n">
        <v>980</v>
      </c>
      <c r="E21" s="26" t="n">
        <v>2</v>
      </c>
      <c r="F21" s="26" t="n">
        <v>200</v>
      </c>
      <c r="G21" s="26" t="n">
        <v>70</v>
      </c>
      <c r="H21" s="26" t="n">
        <v>180</v>
      </c>
      <c r="I21" s="26" t="n">
        <v>12</v>
      </c>
      <c r="J21" s="26" t="n">
        <v>180</v>
      </c>
      <c r="K21" s="26" t="n">
        <v>85</v>
      </c>
      <c r="L21" s="26" t="n">
        <v>45</v>
      </c>
      <c r="M21" s="26" t="n">
        <v>240</v>
      </c>
    </row>
    <row r="22" ht="16" customHeight="1">
      <c r="A22" s="11" t="n">
        <v>2018</v>
      </c>
      <c r="B22" s="27" t="n">
        <v>1600</v>
      </c>
      <c r="C22" s="27" t="n">
        <v>46</v>
      </c>
      <c r="D22" s="27" t="n">
        <v>1100</v>
      </c>
      <c r="E22" s="27" t="n">
        <v>2.5</v>
      </c>
      <c r="F22" s="27" t="n">
        <v>320</v>
      </c>
      <c r="G22" s="27" t="n">
        <v>70</v>
      </c>
      <c r="H22" s="27" t="n">
        <v>140</v>
      </c>
      <c r="I22" s="27" t="n">
        <v>15</v>
      </c>
      <c r="J22" s="27" t="n">
        <v>170</v>
      </c>
      <c r="K22" s="27" t="n">
        <v>100</v>
      </c>
      <c r="L22" s="27" t="n">
        <v>35</v>
      </c>
      <c r="M22" s="27" t="n">
        <v>200</v>
      </c>
    </row>
    <row r="23" ht="16" customHeight="1">
      <c r="A23" s="11" t="n">
        <v>2019</v>
      </c>
      <c r="B23" s="26" t="n">
        <v>1800</v>
      </c>
      <c r="C23" s="26" t="n">
        <v>55</v>
      </c>
      <c r="D23" s="26" t="n">
        <v>1250</v>
      </c>
      <c r="E23" s="26" t="n">
        <v>4</v>
      </c>
      <c r="F23" s="26" t="n">
        <v>350</v>
      </c>
      <c r="G23" s="26" t="n">
        <v>65</v>
      </c>
      <c r="H23" s="26" t="n">
        <v>185</v>
      </c>
      <c r="I23" s="26" t="n">
        <v>30</v>
      </c>
      <c r="J23" s="26" t="n">
        <v>185</v>
      </c>
      <c r="K23" s="26" t="n">
        <v>140</v>
      </c>
      <c r="L23" s="26" t="n">
        <v>40</v>
      </c>
      <c r="M23" s="26" t="n">
        <v>280</v>
      </c>
    </row>
    <row r="24" ht="16" customHeight="1">
      <c r="A24" s="11" t="n">
        <v>2020</v>
      </c>
      <c r="B24" s="27" t="n">
        <v>3100</v>
      </c>
      <c r="C24" s="27" t="n">
        <v>120</v>
      </c>
      <c r="D24" s="27" t="n">
        <v>1750</v>
      </c>
      <c r="E24" s="27" t="n">
        <v>13</v>
      </c>
      <c r="F24" s="27" t="n">
        <v>500</v>
      </c>
      <c r="G24" s="27" t="n">
        <v>700</v>
      </c>
      <c r="H24" s="27" t="n">
        <v>260</v>
      </c>
      <c r="I24" s="27" t="n">
        <v>85</v>
      </c>
      <c r="J24" s="27" t="n">
        <v>260</v>
      </c>
      <c r="K24" s="27" t="n">
        <v>210</v>
      </c>
      <c r="L24" s="27" t="n">
        <v>55</v>
      </c>
      <c r="M24" s="27" t="n">
        <v>380</v>
      </c>
    </row>
    <row r="25" ht="16" customHeight="1">
      <c r="A25" s="11" t="n">
        <v>2021</v>
      </c>
      <c r="B25" s="26" t="n">
        <v>3400</v>
      </c>
      <c r="C25" s="26" t="n">
        <v>140</v>
      </c>
      <c r="D25" s="26" t="n">
        <v>2700</v>
      </c>
      <c r="E25" s="26" t="n">
        <v>28</v>
      </c>
      <c r="F25" s="26" t="n">
        <v>610</v>
      </c>
      <c r="G25" s="26" t="n">
        <v>900</v>
      </c>
      <c r="H25" s="26" t="n">
        <v>170</v>
      </c>
      <c r="I25" s="26" t="n">
        <v>120</v>
      </c>
      <c r="J25" s="26" t="n">
        <v>330</v>
      </c>
      <c r="K25" s="26" t="n">
        <v>310</v>
      </c>
      <c r="L25" s="26" t="n">
        <v>70</v>
      </c>
      <c r="M25" s="26" t="n">
        <v>500</v>
      </c>
    </row>
    <row r="26" ht="16" customHeight="1">
      <c r="A26" s="11" t="n">
        <v>2022</v>
      </c>
      <c r="B26" s="27" t="n">
        <v>960</v>
      </c>
      <c r="C26" s="27" t="n">
        <v>150</v>
      </c>
      <c r="D26" s="27" t="n">
        <v>1000</v>
      </c>
      <c r="E26" s="27" t="n">
        <v>14</v>
      </c>
      <c r="F26" s="27" t="n">
        <v>270</v>
      </c>
      <c r="G26" s="27" t="n">
        <v>250</v>
      </c>
      <c r="H26" s="27" t="n">
        <v>90</v>
      </c>
      <c r="I26" s="27" t="n">
        <v>80</v>
      </c>
      <c r="J26" s="27" t="n">
        <v>150</v>
      </c>
      <c r="K26" s="27" t="n">
        <v>255</v>
      </c>
      <c r="L26" s="27" t="n">
        <v>35</v>
      </c>
      <c r="M26" s="27" t="n">
        <v>450</v>
      </c>
    </row>
    <row r="27" ht="16" customHeight="1">
      <c r="A27" s="11" t="n">
        <v>2023</v>
      </c>
      <c r="B27" s="26" t="n">
        <v>1650</v>
      </c>
      <c r="C27" s="26" t="n">
        <v>185</v>
      </c>
      <c r="D27" s="26" t="n">
        <v>1350</v>
      </c>
      <c r="E27" s="26" t="n">
        <v>50</v>
      </c>
      <c r="F27" s="26" t="n">
        <v>480</v>
      </c>
      <c r="G27" s="26" t="n">
        <v>230</v>
      </c>
      <c r="H27" s="26" t="n">
        <v>80</v>
      </c>
      <c r="I27" s="26" t="n">
        <v>120</v>
      </c>
      <c r="J27" s="26" t="n">
        <v>320</v>
      </c>
      <c r="K27" s="26" t="n">
        <v>370</v>
      </c>
      <c r="L27" s="26" t="n">
        <v>40</v>
      </c>
      <c r="M27" s="26" t="n">
        <v>850</v>
      </c>
    </row>
    <row r="28" ht="16" customHeight="1">
      <c r="A28" s="11" t="n">
        <v>2024</v>
      </c>
      <c r="B28" s="27" t="n">
        <v>2100</v>
      </c>
      <c r="C28" s="27" t="n">
        <v>210</v>
      </c>
      <c r="D28" s="27" t="n">
        <v>1700</v>
      </c>
      <c r="E28" s="27" t="n">
        <v>88</v>
      </c>
      <c r="F28" s="27" t="n">
        <v>650</v>
      </c>
      <c r="G28" s="27" t="n">
        <v>250</v>
      </c>
      <c r="H28" s="27" t="n">
        <v>80</v>
      </c>
      <c r="I28" s="27" t="n">
        <v>175</v>
      </c>
      <c r="J28" s="27" t="n">
        <v>490</v>
      </c>
      <c r="K28" s="27" t="n">
        <v>420</v>
      </c>
      <c r="L28" s="27" t="n">
        <v>42</v>
      </c>
      <c r="M28" s="27" t="n">
        <v>1700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25" t="inlineStr">
        <is>
          <t>코인 보유 수량 — 연도별 (VLOOKUP용)</t>
        </is>
      </c>
    </row>
    <row r="2">
      <c r="A2" s="5" t="inlineStr">
        <is>
          <t>연도</t>
        </is>
      </c>
      <c r="B2" s="5" t="inlineStr">
        <is>
          <t>BTC(사토시)</t>
        </is>
      </c>
      <c r="C2" s="5" t="inlineStr">
        <is>
          <t>BTC(별도)</t>
        </is>
      </c>
      <c r="D2" s="5" t="inlineStr">
        <is>
          <t>ETH</t>
        </is>
      </c>
      <c r="E2" s="5" t="inlineStr">
        <is>
          <t>BNB</t>
        </is>
      </c>
      <c r="F2" s="5" t="inlineStr">
        <is>
          <t>SOL</t>
        </is>
      </c>
      <c r="G2" s="5" t="inlineStr">
        <is>
          <t>XRP</t>
        </is>
      </c>
      <c r="H2" s="5" t="inlineStr">
        <is>
          <t>LINK</t>
        </is>
      </c>
    </row>
    <row r="3" ht="16" customHeight="1">
      <c r="A3" s="11" t="n">
        <v>2009</v>
      </c>
      <c r="B3" s="28" t="n">
        <v>1000000</v>
      </c>
      <c r="C3" s="28" t="n">
        <v>0</v>
      </c>
      <c r="D3" s="28" t="n">
        <v>0</v>
      </c>
      <c r="E3" s="28" t="n">
        <v>0</v>
      </c>
      <c r="F3" s="28" t="n">
        <v>0</v>
      </c>
      <c r="G3" s="28" t="n">
        <v>0</v>
      </c>
      <c r="H3" s="28" t="n">
        <v>0</v>
      </c>
    </row>
    <row r="4" ht="16" customHeight="1">
      <c r="A4" s="11" t="n">
        <v>2010</v>
      </c>
      <c r="B4" s="27" t="n">
        <v>1000000</v>
      </c>
      <c r="C4" s="27" t="n">
        <v>500000</v>
      </c>
      <c r="D4" s="27" t="n">
        <v>0</v>
      </c>
      <c r="E4" s="27" t="n">
        <v>0</v>
      </c>
      <c r="F4" s="27" t="n">
        <v>0</v>
      </c>
      <c r="G4" s="27" t="n">
        <v>0</v>
      </c>
      <c r="H4" s="27" t="n">
        <v>0</v>
      </c>
    </row>
    <row r="5" ht="16" customHeight="1">
      <c r="A5" s="11" t="n">
        <v>2011</v>
      </c>
      <c r="B5" s="28" t="n">
        <v>1000000</v>
      </c>
      <c r="C5" s="28" t="n">
        <v>500000</v>
      </c>
      <c r="D5" s="28" t="n">
        <v>0</v>
      </c>
      <c r="E5" s="28" t="n">
        <v>0</v>
      </c>
      <c r="F5" s="28" t="n">
        <v>0</v>
      </c>
      <c r="G5" s="28" t="n">
        <v>0</v>
      </c>
      <c r="H5" s="28" t="n">
        <v>0</v>
      </c>
    </row>
    <row r="6" ht="16" customHeight="1">
      <c r="A6" s="11" t="n">
        <v>2012</v>
      </c>
      <c r="B6" s="27" t="n">
        <v>1000000</v>
      </c>
      <c r="C6" s="27" t="n">
        <v>500000</v>
      </c>
      <c r="D6" s="27" t="n">
        <v>0</v>
      </c>
      <c r="E6" s="27" t="n">
        <v>0</v>
      </c>
      <c r="F6" s="27" t="n">
        <v>0</v>
      </c>
      <c r="G6" s="27" t="n">
        <v>0</v>
      </c>
      <c r="H6" s="27" t="n">
        <v>0</v>
      </c>
    </row>
    <row r="7" ht="16" customHeight="1">
      <c r="A7" s="11" t="n">
        <v>2013</v>
      </c>
      <c r="B7" s="28" t="n">
        <v>1000000</v>
      </c>
      <c r="C7" s="28" t="n">
        <v>300000</v>
      </c>
      <c r="D7" s="28" t="n">
        <v>0</v>
      </c>
      <c r="E7" s="28" t="n">
        <v>0</v>
      </c>
      <c r="F7" s="28" t="n">
        <v>0</v>
      </c>
      <c r="G7" s="28" t="n">
        <v>100000000</v>
      </c>
      <c r="H7" s="28" t="n">
        <v>0</v>
      </c>
    </row>
    <row r="8" ht="16" customHeight="1">
      <c r="A8" s="11" t="n">
        <v>2014</v>
      </c>
      <c r="B8" s="27" t="n">
        <v>1000000</v>
      </c>
      <c r="C8" s="27" t="n">
        <v>300000</v>
      </c>
      <c r="D8" s="27" t="n">
        <v>0</v>
      </c>
      <c r="E8" s="27" t="n">
        <v>0</v>
      </c>
      <c r="F8" s="27" t="n">
        <v>0</v>
      </c>
      <c r="G8" s="27" t="n">
        <v>150000000</v>
      </c>
      <c r="H8" s="27" t="n">
        <v>0</v>
      </c>
    </row>
    <row r="9" ht="16" customHeight="1">
      <c r="A9" s="11" t="n">
        <v>2015</v>
      </c>
      <c r="B9" s="28" t="n">
        <v>1000000</v>
      </c>
      <c r="C9" s="28" t="n">
        <v>600000</v>
      </c>
      <c r="D9" s="28" t="n">
        <v>3000000</v>
      </c>
      <c r="E9" s="28" t="n">
        <v>0</v>
      </c>
      <c r="F9" s="28" t="n">
        <v>0</v>
      </c>
      <c r="G9" s="28" t="n">
        <v>150000000</v>
      </c>
      <c r="H9" s="28" t="n">
        <v>0</v>
      </c>
    </row>
    <row r="10" ht="16" customHeight="1">
      <c r="A10" s="11" t="n">
        <v>2016</v>
      </c>
      <c r="B10" s="27" t="n">
        <v>1000000</v>
      </c>
      <c r="C10" s="27" t="n">
        <v>600000</v>
      </c>
      <c r="D10" s="27" t="n">
        <v>3000000</v>
      </c>
      <c r="E10" s="27" t="n">
        <v>0</v>
      </c>
      <c r="F10" s="27" t="n">
        <v>0</v>
      </c>
      <c r="G10" s="27" t="n">
        <v>150000000</v>
      </c>
      <c r="H10" s="27" t="n">
        <v>0</v>
      </c>
    </row>
    <row r="11" ht="16" customHeight="1">
      <c r="A11" s="11" t="n">
        <v>2017</v>
      </c>
      <c r="B11" s="28" t="n">
        <v>1000000</v>
      </c>
      <c r="C11" s="28" t="n">
        <v>400000</v>
      </c>
      <c r="D11" s="28" t="n">
        <v>3000000</v>
      </c>
      <c r="E11" s="28" t="n">
        <v>10000000</v>
      </c>
      <c r="F11" s="28" t="n">
        <v>0</v>
      </c>
      <c r="G11" s="28" t="n">
        <v>150000000</v>
      </c>
      <c r="H11" s="28" t="n">
        <v>20000000</v>
      </c>
    </row>
    <row r="12" ht="16" customHeight="1">
      <c r="A12" s="11" t="n">
        <v>2018</v>
      </c>
      <c r="B12" s="27" t="n">
        <v>1000000</v>
      </c>
      <c r="C12" s="27" t="n">
        <v>700000</v>
      </c>
      <c r="D12" s="27" t="n">
        <v>2000000</v>
      </c>
      <c r="E12" s="27" t="n">
        <v>7000000</v>
      </c>
      <c r="F12" s="27" t="n">
        <v>0</v>
      </c>
      <c r="G12" s="27" t="n">
        <v>70000000</v>
      </c>
      <c r="H12" s="27" t="n">
        <v>20000000</v>
      </c>
    </row>
    <row r="13" ht="16" customHeight="1">
      <c r="A13" s="11" t="n">
        <v>2019</v>
      </c>
      <c r="B13" s="28" t="n">
        <v>1000000</v>
      </c>
      <c r="C13" s="28" t="n">
        <v>700000</v>
      </c>
      <c r="D13" s="28" t="n">
        <v>2000000</v>
      </c>
      <c r="E13" s="28" t="n">
        <v>7000000</v>
      </c>
      <c r="F13" s="28" t="n">
        <v>0</v>
      </c>
      <c r="G13" s="28" t="n">
        <v>70000000</v>
      </c>
      <c r="H13" s="28" t="n">
        <v>20000000</v>
      </c>
    </row>
    <row r="14" ht="16" customHeight="1">
      <c r="A14" s="11" t="n">
        <v>2020</v>
      </c>
      <c r="B14" s="27" t="n">
        <v>1000000</v>
      </c>
      <c r="C14" s="27" t="n">
        <v>500000</v>
      </c>
      <c r="D14" s="27" t="n">
        <v>3000000</v>
      </c>
      <c r="E14" s="27" t="n">
        <v>7000000</v>
      </c>
      <c r="F14" s="27" t="n">
        <v>7000000</v>
      </c>
      <c r="G14" s="27" t="n">
        <v>130000000</v>
      </c>
      <c r="H14" s="27" t="n">
        <v>20000000</v>
      </c>
    </row>
    <row r="15" ht="16" customHeight="1">
      <c r="A15" s="11" t="n">
        <v>2021</v>
      </c>
      <c r="B15" s="28" t="n">
        <v>1000000</v>
      </c>
      <c r="C15" s="28" t="n">
        <v>300000</v>
      </c>
      <c r="D15" s="28" t="n">
        <v>1500000</v>
      </c>
      <c r="E15" s="28" t="n">
        <v>2000000</v>
      </c>
      <c r="F15" s="28" t="n">
        <v>3500000</v>
      </c>
      <c r="G15" s="28" t="n">
        <v>70000000</v>
      </c>
      <c r="H15" s="28" t="n">
        <v>10000000</v>
      </c>
    </row>
    <row r="16" ht="16" customHeight="1">
      <c r="A16" s="11" t="n">
        <v>2022</v>
      </c>
      <c r="B16" s="27" t="n">
        <v>1000000</v>
      </c>
      <c r="C16" s="27" t="n">
        <v>500000</v>
      </c>
      <c r="D16" s="27" t="n">
        <v>3000000</v>
      </c>
      <c r="E16" s="27" t="n">
        <v>7000000</v>
      </c>
      <c r="F16" s="27" t="n">
        <v>7000000</v>
      </c>
      <c r="G16" s="27" t="n">
        <v>130000000</v>
      </c>
      <c r="H16" s="27" t="n">
        <v>20000000</v>
      </c>
    </row>
    <row r="17" ht="16" customHeight="1">
      <c r="A17" s="11" t="n">
        <v>2023</v>
      </c>
      <c r="B17" s="28" t="n">
        <v>1000000</v>
      </c>
      <c r="C17" s="28" t="n">
        <v>350000</v>
      </c>
      <c r="D17" s="28" t="n">
        <v>2500000</v>
      </c>
      <c r="E17" s="28" t="n">
        <v>10000000</v>
      </c>
      <c r="F17" s="28" t="n">
        <v>5500000</v>
      </c>
      <c r="G17" s="28" t="n">
        <v>150000000</v>
      </c>
      <c r="H17" s="28" t="n">
        <v>22000000</v>
      </c>
    </row>
    <row r="18" ht="16" customHeight="1">
      <c r="A18" s="11" t="n">
        <v>2024</v>
      </c>
      <c r="B18" s="27" t="n">
        <v>1000000</v>
      </c>
      <c r="C18" s="27" t="n">
        <v>350000</v>
      </c>
      <c r="D18" s="27" t="n">
        <v>2500000</v>
      </c>
      <c r="E18" s="27" t="n">
        <v>10000000</v>
      </c>
      <c r="F18" s="27" t="n">
        <v>5500000</v>
      </c>
      <c r="G18" s="27" t="n">
        <v>150000000</v>
      </c>
      <c r="H18" s="27" t="n">
        <v>22000000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25" t="inlineStr">
        <is>
          <t>코인 연도별 평균가 ($)</t>
        </is>
      </c>
    </row>
    <row r="2">
      <c r="A2" s="5" t="inlineStr">
        <is>
          <t>연도</t>
        </is>
      </c>
      <c r="B2" s="5" t="inlineStr">
        <is>
          <t>BTC(사토시)</t>
        </is>
      </c>
      <c r="C2" s="5" t="inlineStr">
        <is>
          <t>BTC(별도)</t>
        </is>
      </c>
      <c r="D2" s="5" t="inlineStr">
        <is>
          <t>ETH</t>
        </is>
      </c>
      <c r="E2" s="5" t="inlineStr">
        <is>
          <t>BNB</t>
        </is>
      </c>
      <c r="F2" s="5" t="inlineStr">
        <is>
          <t>SOL</t>
        </is>
      </c>
      <c r="G2" s="5" t="inlineStr">
        <is>
          <t>XRP</t>
        </is>
      </c>
      <c r="H2" s="5" t="inlineStr">
        <is>
          <t>LINK</t>
        </is>
      </c>
    </row>
    <row r="3" ht="16" customHeight="1">
      <c r="A3" s="11" t="n">
        <v>2009</v>
      </c>
      <c r="B3" s="28" t="n">
        <v>0.001</v>
      </c>
      <c r="C3" s="28" t="n">
        <v>0.001</v>
      </c>
      <c r="D3" s="28" t="n">
        <v>0</v>
      </c>
      <c r="E3" s="28" t="n">
        <v>0</v>
      </c>
      <c r="F3" s="28" t="n">
        <v>0</v>
      </c>
      <c r="G3" s="28" t="n">
        <v>0</v>
      </c>
      <c r="H3" s="28" t="n">
        <v>0</v>
      </c>
    </row>
    <row r="4" ht="16" customHeight="1">
      <c r="A4" s="11" t="n">
        <v>2010</v>
      </c>
      <c r="B4" s="27" t="n">
        <v>0.08</v>
      </c>
      <c r="C4" s="27" t="n">
        <v>0.08</v>
      </c>
      <c r="D4" s="27" t="n">
        <v>0</v>
      </c>
      <c r="E4" s="27" t="n">
        <v>0</v>
      </c>
      <c r="F4" s="27" t="n">
        <v>0</v>
      </c>
      <c r="G4" s="27" t="n">
        <v>0</v>
      </c>
      <c r="H4" s="27" t="n">
        <v>0</v>
      </c>
    </row>
    <row r="5" ht="16" customHeight="1">
      <c r="A5" s="11" t="n">
        <v>2011</v>
      </c>
      <c r="B5" s="28" t="n">
        <v>5</v>
      </c>
      <c r="C5" s="28" t="n">
        <v>5</v>
      </c>
      <c r="D5" s="28" t="n">
        <v>0</v>
      </c>
      <c r="E5" s="28" t="n">
        <v>0</v>
      </c>
      <c r="F5" s="28" t="n">
        <v>0</v>
      </c>
      <c r="G5" s="28" t="n">
        <v>0</v>
      </c>
      <c r="H5" s="28" t="n">
        <v>0</v>
      </c>
    </row>
    <row r="6" ht="16" customHeight="1">
      <c r="A6" s="11" t="n">
        <v>2012</v>
      </c>
      <c r="B6" s="27" t="n">
        <v>8</v>
      </c>
      <c r="C6" s="27" t="n">
        <v>8</v>
      </c>
      <c r="D6" s="27" t="n">
        <v>0</v>
      </c>
      <c r="E6" s="27" t="n">
        <v>0</v>
      </c>
      <c r="F6" s="27" t="n">
        <v>0</v>
      </c>
      <c r="G6" s="27" t="n">
        <v>0</v>
      </c>
      <c r="H6" s="27" t="n">
        <v>0</v>
      </c>
    </row>
    <row r="7" ht="16" customHeight="1">
      <c r="A7" s="11" t="n">
        <v>2013</v>
      </c>
      <c r="B7" s="28" t="n">
        <v>200</v>
      </c>
      <c r="C7" s="28" t="n">
        <v>200</v>
      </c>
      <c r="D7" s="28" t="n">
        <v>0</v>
      </c>
      <c r="E7" s="28" t="n">
        <v>0</v>
      </c>
      <c r="F7" s="28" t="n">
        <v>0</v>
      </c>
      <c r="G7" s="28" t="n">
        <v>0.04</v>
      </c>
      <c r="H7" s="28" t="n">
        <v>0</v>
      </c>
    </row>
    <row r="8" ht="16" customHeight="1">
      <c r="A8" s="11" t="n">
        <v>2014</v>
      </c>
      <c r="B8" s="27" t="n">
        <v>450</v>
      </c>
      <c r="C8" s="27" t="n">
        <v>450</v>
      </c>
      <c r="D8" s="27" t="n">
        <v>0</v>
      </c>
      <c r="E8" s="27" t="n">
        <v>0</v>
      </c>
      <c r="F8" s="27" t="n">
        <v>0</v>
      </c>
      <c r="G8" s="27" t="n">
        <v>0.01</v>
      </c>
      <c r="H8" s="27" t="n">
        <v>0</v>
      </c>
    </row>
    <row r="9" ht="16" customHeight="1">
      <c r="A9" s="11" t="n">
        <v>2015</v>
      </c>
      <c r="B9" s="28" t="n">
        <v>280</v>
      </c>
      <c r="C9" s="28" t="n">
        <v>280</v>
      </c>
      <c r="D9" s="28" t="n">
        <v>0.9</v>
      </c>
      <c r="E9" s="28" t="n">
        <v>0</v>
      </c>
      <c r="F9" s="28" t="n">
        <v>0</v>
      </c>
      <c r="G9" s="28" t="n">
        <v>0.005</v>
      </c>
      <c r="H9" s="28" t="n">
        <v>0</v>
      </c>
    </row>
    <row r="10" ht="16" customHeight="1">
      <c r="A10" s="11" t="n">
        <v>2016</v>
      </c>
      <c r="B10" s="27" t="n">
        <v>570</v>
      </c>
      <c r="C10" s="27" t="n">
        <v>570</v>
      </c>
      <c r="D10" s="27" t="n">
        <v>11</v>
      </c>
      <c r="E10" s="27" t="n">
        <v>0</v>
      </c>
      <c r="F10" s="27" t="n">
        <v>0</v>
      </c>
      <c r="G10" s="27" t="n">
        <v>0.006</v>
      </c>
      <c r="H10" s="27" t="n">
        <v>0</v>
      </c>
    </row>
    <row r="11" ht="16" customHeight="1">
      <c r="A11" s="11" t="n">
        <v>2017</v>
      </c>
      <c r="B11" s="28" t="n">
        <v>4000</v>
      </c>
      <c r="C11" s="28" t="n">
        <v>4000</v>
      </c>
      <c r="D11" s="28" t="n">
        <v>300</v>
      </c>
      <c r="E11" s="28" t="n">
        <v>5</v>
      </c>
      <c r="F11" s="28" t="n">
        <v>0</v>
      </c>
      <c r="G11" s="28" t="n">
        <v>0.25</v>
      </c>
      <c r="H11" s="28" t="n">
        <v>0.5</v>
      </c>
    </row>
    <row r="12" ht="16" customHeight="1">
      <c r="A12" s="11" t="n">
        <v>2018</v>
      </c>
      <c r="B12" s="27" t="n">
        <v>7500</v>
      </c>
      <c r="C12" s="27" t="n">
        <v>7500</v>
      </c>
      <c r="D12" s="27" t="n">
        <v>480</v>
      </c>
      <c r="E12" s="27" t="n">
        <v>15</v>
      </c>
      <c r="F12" s="27" t="n">
        <v>0</v>
      </c>
      <c r="G12" s="27" t="n">
        <v>0.4</v>
      </c>
      <c r="H12" s="27" t="n">
        <v>2.5</v>
      </c>
    </row>
    <row r="13" ht="16" customHeight="1">
      <c r="A13" s="11" t="n">
        <v>2019</v>
      </c>
      <c r="B13" s="28" t="n">
        <v>7200</v>
      </c>
      <c r="C13" s="28" t="n">
        <v>7200</v>
      </c>
      <c r="D13" s="28" t="n">
        <v>180</v>
      </c>
      <c r="E13" s="28" t="n">
        <v>25</v>
      </c>
      <c r="F13" s="28" t="n">
        <v>0</v>
      </c>
      <c r="G13" s="28" t="n">
        <v>0.3</v>
      </c>
      <c r="H13" s="28" t="n">
        <v>2.5</v>
      </c>
    </row>
    <row r="14" ht="16" customHeight="1">
      <c r="A14" s="11" t="n">
        <v>2020</v>
      </c>
      <c r="B14" s="27" t="n">
        <v>11000</v>
      </c>
      <c r="C14" s="27" t="n">
        <v>11000</v>
      </c>
      <c r="D14" s="27" t="n">
        <v>400</v>
      </c>
      <c r="E14" s="27" t="n">
        <v>25</v>
      </c>
      <c r="F14" s="27" t="n">
        <v>1.5</v>
      </c>
      <c r="G14" s="27" t="n">
        <v>0.25</v>
      </c>
      <c r="H14" s="27" t="n">
        <v>12</v>
      </c>
    </row>
    <row r="15" ht="16" customHeight="1">
      <c r="A15" s="11" t="n">
        <v>2021</v>
      </c>
      <c r="B15" s="28" t="n">
        <v>47000</v>
      </c>
      <c r="C15" s="28" t="n">
        <v>47000</v>
      </c>
      <c r="D15" s="28" t="n">
        <v>2800</v>
      </c>
      <c r="E15" s="28" t="n">
        <v>350</v>
      </c>
      <c r="F15" s="28" t="n">
        <v>80</v>
      </c>
      <c r="G15" s="28" t="n">
        <v>0.8</v>
      </c>
      <c r="H15" s="28" t="n">
        <v>20</v>
      </c>
    </row>
    <row r="16" ht="16" customHeight="1">
      <c r="A16" s="11" t="n">
        <v>2022</v>
      </c>
      <c r="B16" s="27" t="n">
        <v>28000</v>
      </c>
      <c r="C16" s="27" t="n">
        <v>28000</v>
      </c>
      <c r="D16" s="27" t="n">
        <v>1600</v>
      </c>
      <c r="E16" s="27" t="n">
        <v>300</v>
      </c>
      <c r="F16" s="27" t="n">
        <v>50</v>
      </c>
      <c r="G16" s="27" t="n">
        <v>0.5</v>
      </c>
      <c r="H16" s="27" t="n">
        <v>7</v>
      </c>
    </row>
    <row r="17" ht="16" customHeight="1">
      <c r="A17" s="11" t="n">
        <v>2023</v>
      </c>
      <c r="B17" s="28" t="n">
        <v>28000</v>
      </c>
      <c r="C17" s="28" t="n">
        <v>28000</v>
      </c>
      <c r="D17" s="28" t="n">
        <v>1700</v>
      </c>
      <c r="E17" s="28" t="n">
        <v>230</v>
      </c>
      <c r="F17" s="28" t="n">
        <v>50</v>
      </c>
      <c r="G17" s="28" t="n">
        <v>0.55</v>
      </c>
      <c r="H17" s="28" t="n">
        <v>7</v>
      </c>
    </row>
    <row r="18" ht="16" customHeight="1">
      <c r="A18" s="11" t="n">
        <v>2024</v>
      </c>
      <c r="B18" s="27" t="n">
        <v>55000</v>
      </c>
      <c r="C18" s="27" t="n">
        <v>55000</v>
      </c>
      <c r="D18" s="27" t="n">
        <v>2800</v>
      </c>
      <c r="E18" s="27" t="n">
        <v>380</v>
      </c>
      <c r="F18" s="27" t="n">
        <v>150</v>
      </c>
      <c r="G18" s="27" t="n">
        <v>0.6</v>
      </c>
      <c r="H18" s="27" t="n">
        <v>15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25" t="inlineStr">
        <is>
          <t>연도별 기타 자산 ($M) — 부동산/선물누적/운용사지분</t>
        </is>
      </c>
    </row>
    <row r="2">
      <c r="A2" s="5" t="inlineStr">
        <is>
          <t>연도</t>
        </is>
      </c>
      <c r="B2" s="5" t="inlineStr">
        <is>
          <t>부동산 ($M)</t>
        </is>
      </c>
      <c r="C2" s="5" t="inlineStr">
        <is>
          <t>선물/숏/원자재 ($M)</t>
        </is>
      </c>
      <c r="D2" s="5" t="inlineStr">
        <is>
          <t>운용사 지분 ($M)</t>
        </is>
      </c>
    </row>
    <row r="3" ht="16" customHeight="1">
      <c r="A3" s="11" t="n">
        <v>1998</v>
      </c>
      <c r="B3" s="26" t="n">
        <v>0</v>
      </c>
      <c r="C3" s="26" t="n">
        <v>2.5</v>
      </c>
      <c r="D3" s="26" t="n">
        <v>0</v>
      </c>
    </row>
    <row r="4" ht="16" customHeight="1">
      <c r="A4" s="11" t="n">
        <v>1999</v>
      </c>
      <c r="B4" s="27" t="n">
        <v>0</v>
      </c>
      <c r="C4" s="27" t="n">
        <v>60</v>
      </c>
      <c r="D4" s="27" t="n">
        <v>0</v>
      </c>
    </row>
    <row r="5" ht="16" customHeight="1">
      <c r="A5" s="11" t="n">
        <v>2000</v>
      </c>
      <c r="B5" s="26" t="n">
        <v>0</v>
      </c>
      <c r="C5" s="26" t="n">
        <v>150</v>
      </c>
      <c r="D5" s="26" t="n">
        <v>0</v>
      </c>
    </row>
    <row r="6" ht="16" customHeight="1">
      <c r="A6" s="11" t="n">
        <v>2001</v>
      </c>
      <c r="B6" s="27" t="n">
        <v>45</v>
      </c>
      <c r="C6" s="27" t="n">
        <v>400</v>
      </c>
      <c r="D6" s="27" t="n">
        <v>0</v>
      </c>
    </row>
    <row r="7" ht="16" customHeight="1">
      <c r="A7" s="11" t="n">
        <v>2002</v>
      </c>
      <c r="B7" s="26" t="n">
        <v>55</v>
      </c>
      <c r="C7" s="26" t="n">
        <v>680</v>
      </c>
      <c r="D7" s="26" t="n">
        <v>0</v>
      </c>
    </row>
    <row r="8" ht="16" customHeight="1">
      <c r="A8" s="11" t="n">
        <v>2003</v>
      </c>
      <c r="B8" s="27" t="n">
        <v>80</v>
      </c>
      <c r="C8" s="27" t="n">
        <v>1200</v>
      </c>
      <c r="D8" s="27" t="n">
        <v>0</v>
      </c>
    </row>
    <row r="9" ht="16" customHeight="1">
      <c r="A9" s="11" t="n">
        <v>2004</v>
      </c>
      <c r="B9" s="26" t="n">
        <v>120</v>
      </c>
      <c r="C9" s="26" t="n">
        <v>2400</v>
      </c>
      <c r="D9" s="26" t="n">
        <v>0</v>
      </c>
    </row>
    <row r="10" ht="16" customHeight="1">
      <c r="A10" s="11" t="n">
        <v>2005</v>
      </c>
      <c r="B10" s="27" t="n">
        <v>150</v>
      </c>
      <c r="C10" s="27" t="n">
        <v>3450</v>
      </c>
      <c r="D10" s="27" t="n">
        <v>50</v>
      </c>
    </row>
    <row r="11" ht="16" customHeight="1">
      <c r="A11" s="11" t="n">
        <v>2006</v>
      </c>
      <c r="B11" s="26" t="n">
        <v>200</v>
      </c>
      <c r="C11" s="26" t="n">
        <v>6350</v>
      </c>
      <c r="D11" s="26" t="n">
        <v>150</v>
      </c>
    </row>
    <row r="12" ht="16" customHeight="1">
      <c r="A12" s="11" t="n">
        <v>2007</v>
      </c>
      <c r="B12" s="27" t="n">
        <v>400</v>
      </c>
      <c r="C12" s="27" t="n">
        <v>10200</v>
      </c>
      <c r="D12" s="27" t="n">
        <v>300</v>
      </c>
    </row>
    <row r="13" ht="16" customHeight="1">
      <c r="A13" s="11" t="n">
        <v>2008</v>
      </c>
      <c r="B13" s="26" t="n">
        <v>200</v>
      </c>
      <c r="C13" s="26" t="n">
        <v>34000</v>
      </c>
      <c r="D13" s="26" t="n">
        <v>500</v>
      </c>
    </row>
    <row r="14" ht="16" customHeight="1">
      <c r="A14" s="11" t="n">
        <v>2009</v>
      </c>
      <c r="B14" s="27" t="n">
        <v>300</v>
      </c>
      <c r="C14" s="27" t="n">
        <v>48000</v>
      </c>
      <c r="D14" s="27" t="n">
        <v>800</v>
      </c>
    </row>
    <row r="15" ht="16" customHeight="1">
      <c r="A15" s="11" t="n">
        <v>2010</v>
      </c>
      <c r="B15" s="26" t="n">
        <v>400</v>
      </c>
      <c r="C15" s="26" t="n">
        <v>52600</v>
      </c>
      <c r="D15" s="26" t="n">
        <v>1200</v>
      </c>
    </row>
    <row r="16" ht="16" customHeight="1">
      <c r="A16" s="11" t="n">
        <v>2011</v>
      </c>
      <c r="B16" s="27" t="n">
        <v>450</v>
      </c>
      <c r="C16" s="27" t="n">
        <v>55950</v>
      </c>
      <c r="D16" s="27" t="n">
        <v>1800</v>
      </c>
    </row>
    <row r="17" ht="16" customHeight="1">
      <c r="A17" s="11" t="n">
        <v>2012</v>
      </c>
      <c r="B17" s="26" t="n">
        <v>500</v>
      </c>
      <c r="C17" s="26" t="n">
        <v>65000</v>
      </c>
      <c r="D17" s="26" t="n">
        <v>2500</v>
      </c>
    </row>
    <row r="18" ht="16" customHeight="1">
      <c r="A18" s="11" t="n">
        <v>2013</v>
      </c>
      <c r="B18" s="27" t="n">
        <v>550</v>
      </c>
      <c r="C18" s="27" t="n">
        <v>79900</v>
      </c>
      <c r="D18" s="27" t="n">
        <v>3500</v>
      </c>
    </row>
    <row r="19" ht="16" customHeight="1">
      <c r="A19" s="11" t="n">
        <v>2014</v>
      </c>
      <c r="B19" s="26" t="n">
        <v>600</v>
      </c>
      <c r="C19" s="26" t="n">
        <v>89400</v>
      </c>
      <c r="D19" s="26" t="n">
        <v>5000</v>
      </c>
    </row>
    <row r="20" ht="16" customHeight="1">
      <c r="A20" s="11" t="n">
        <v>2015</v>
      </c>
      <c r="B20" s="27" t="n">
        <v>620</v>
      </c>
      <c r="C20" s="27" t="n">
        <v>104380</v>
      </c>
      <c r="D20" s="27" t="n">
        <v>7000</v>
      </c>
    </row>
    <row r="21" ht="16" customHeight="1">
      <c r="A21" s="11" t="n">
        <v>2016</v>
      </c>
      <c r="B21" s="26" t="n">
        <v>650</v>
      </c>
      <c r="C21" s="26" t="n">
        <v>129350</v>
      </c>
      <c r="D21" s="26" t="n">
        <v>9000</v>
      </c>
    </row>
    <row r="22" ht="16" customHeight="1">
      <c r="A22" s="11" t="n">
        <v>2017</v>
      </c>
      <c r="B22" s="27" t="n">
        <v>700</v>
      </c>
      <c r="C22" s="27" t="n">
        <v>154300</v>
      </c>
      <c r="D22" s="27" t="n">
        <v>12000</v>
      </c>
    </row>
    <row r="23" ht="16" customHeight="1">
      <c r="A23" s="11" t="n">
        <v>2018</v>
      </c>
      <c r="B23" s="26" t="n">
        <v>750</v>
      </c>
      <c r="C23" s="26" t="n">
        <v>152250</v>
      </c>
      <c r="D23" s="26" t="n">
        <v>15000</v>
      </c>
    </row>
    <row r="24" ht="16" customHeight="1">
      <c r="A24" s="11" t="n">
        <v>2019</v>
      </c>
      <c r="B24" s="27" t="n">
        <v>800</v>
      </c>
      <c r="C24" s="27" t="n">
        <v>208200</v>
      </c>
      <c r="D24" s="27" t="n">
        <v>18000</v>
      </c>
    </row>
    <row r="25" ht="16" customHeight="1">
      <c r="A25" s="11" t="n">
        <v>2020</v>
      </c>
      <c r="B25" s="26" t="n">
        <v>850</v>
      </c>
      <c r="C25" s="26" t="n">
        <v>480150</v>
      </c>
      <c r="D25" s="26" t="n">
        <v>22000</v>
      </c>
    </row>
    <row r="26" ht="16" customHeight="1">
      <c r="A26" s="11" t="n">
        <v>2021</v>
      </c>
      <c r="B26" s="27" t="n">
        <v>900</v>
      </c>
      <c r="C26" s="27" t="n">
        <v>1246100</v>
      </c>
      <c r="D26" s="27" t="n">
        <v>27000</v>
      </c>
    </row>
    <row r="27" ht="16" customHeight="1">
      <c r="A27" s="11" t="n">
        <v>2022</v>
      </c>
      <c r="B27" s="26" t="n">
        <v>850</v>
      </c>
      <c r="C27" s="26" t="n">
        <v>926150</v>
      </c>
      <c r="D27" s="26" t="n">
        <v>30000</v>
      </c>
    </row>
    <row r="28" ht="16" customHeight="1">
      <c r="A28" s="11" t="n">
        <v>2023</v>
      </c>
      <c r="B28" s="27" t="n">
        <v>900</v>
      </c>
      <c r="C28" s="27" t="n">
        <v>1860100</v>
      </c>
      <c r="D28" s="27" t="n">
        <v>35000</v>
      </c>
    </row>
    <row r="29" ht="16" customHeight="1">
      <c r="A29" s="11" t="n">
        <v>2024</v>
      </c>
      <c r="B29" s="26" t="n">
        <v>620</v>
      </c>
      <c r="C29" s="26" t="n">
        <v>37444096</v>
      </c>
      <c r="D29" s="26" t="n">
        <v>40000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K — 연도별 자산 스냅샷 요약 ($M)</t>
        </is>
      </c>
    </row>
    <row r="2">
      <c r="A2" s="5" t="inlineStr">
        <is>
          <t>연도</t>
        </is>
      </c>
      <c r="B2" s="5" t="inlineStr">
        <is>
          <t>주식 ($M)</t>
        </is>
      </c>
      <c r="C2" s="5" t="inlineStr">
        <is>
          <t>코인 ($M)</t>
        </is>
      </c>
      <c r="D2" s="5" t="inlineStr">
        <is>
          <t>부동산 ($M)</t>
        </is>
      </c>
      <c r="E2" s="5" t="inlineStr">
        <is>
          <t>선물/숏/원자재 ($M)</t>
        </is>
      </c>
      <c r="F2" s="5" t="inlineStr">
        <is>
          <t>운용사 지분 ($M)</t>
        </is>
      </c>
      <c r="G2" s="5" t="inlineStr">
        <is>
          <t>활동자금 차감 ($M)</t>
        </is>
      </c>
      <c r="H2" s="5" t="inlineStr">
        <is>
          <t>총합 ($M)</t>
        </is>
      </c>
    </row>
    <row r="3" ht="16" customHeight="1">
      <c r="A3" s="11" t="n">
        <v>1998</v>
      </c>
      <c r="B3" s="26" t="n">
        <v>0</v>
      </c>
      <c r="C3" s="26" t="n">
        <v>0</v>
      </c>
      <c r="D3" s="26" t="n">
        <v>0</v>
      </c>
      <c r="E3" s="26" t="n">
        <v>2.5</v>
      </c>
      <c r="F3" s="26" t="n">
        <v>0</v>
      </c>
      <c r="G3" s="26" t="n">
        <v>0</v>
      </c>
      <c r="H3" s="15">
        <f>SUM(B3:G3)</f>
        <v/>
      </c>
    </row>
    <row r="4" ht="16" customHeight="1">
      <c r="A4" s="11" t="n">
        <v>1999</v>
      </c>
      <c r="B4" s="27" t="n">
        <v>0</v>
      </c>
      <c r="C4" s="27" t="n">
        <v>0</v>
      </c>
      <c r="D4" s="27" t="n">
        <v>0</v>
      </c>
      <c r="E4" s="27" t="n">
        <v>60</v>
      </c>
      <c r="F4" s="27" t="n">
        <v>0</v>
      </c>
      <c r="G4" s="27" t="n">
        <v>0</v>
      </c>
      <c r="H4" s="15">
        <f>SUM(B4:G4)</f>
        <v/>
      </c>
    </row>
    <row r="5" ht="16" customHeight="1">
      <c r="A5" s="11" t="n">
        <v>2000</v>
      </c>
      <c r="B5" s="26" t="n">
        <v>10</v>
      </c>
      <c r="C5" s="26" t="n">
        <v>0</v>
      </c>
      <c r="D5" s="26" t="n">
        <v>0</v>
      </c>
      <c r="E5" s="26" t="n">
        <v>150</v>
      </c>
      <c r="F5" s="26" t="n">
        <v>0</v>
      </c>
      <c r="G5" s="26" t="n">
        <v>0</v>
      </c>
      <c r="H5" s="15">
        <f>SUM(B5:G5)</f>
        <v/>
      </c>
    </row>
    <row r="6" ht="16" customHeight="1">
      <c r="A6" s="11" t="n">
        <v>2001</v>
      </c>
      <c r="B6" s="27" t="n">
        <v>15</v>
      </c>
      <c r="C6" s="27" t="n">
        <v>0</v>
      </c>
      <c r="D6" s="27" t="n">
        <v>45</v>
      </c>
      <c r="E6" s="27" t="n">
        <v>400</v>
      </c>
      <c r="F6" s="27" t="n">
        <v>0</v>
      </c>
      <c r="G6" s="27" t="n">
        <v>0</v>
      </c>
      <c r="H6" s="15">
        <f>SUM(B6:G6)</f>
        <v/>
      </c>
    </row>
    <row r="7" ht="16" customHeight="1">
      <c r="A7" s="11" t="n">
        <v>2002</v>
      </c>
      <c r="B7" s="26" t="n">
        <v>25</v>
      </c>
      <c r="C7" s="26" t="n">
        <v>0</v>
      </c>
      <c r="D7" s="26" t="n">
        <v>55</v>
      </c>
      <c r="E7" s="26" t="n">
        <v>680</v>
      </c>
      <c r="F7" s="26" t="n">
        <v>0</v>
      </c>
      <c r="G7" s="26" t="n">
        <v>0</v>
      </c>
      <c r="H7" s="15">
        <f>SUM(B7:G7)</f>
        <v/>
      </c>
    </row>
    <row r="8" ht="16" customHeight="1">
      <c r="A8" s="11" t="n">
        <v>2003</v>
      </c>
      <c r="B8" s="27" t="n">
        <v>80</v>
      </c>
      <c r="C8" s="27" t="n">
        <v>0</v>
      </c>
      <c r="D8" s="27" t="n">
        <v>80</v>
      </c>
      <c r="E8" s="27" t="n">
        <v>1200</v>
      </c>
      <c r="F8" s="27" t="n">
        <v>0</v>
      </c>
      <c r="G8" s="27" t="n">
        <v>0</v>
      </c>
      <c r="H8" s="15">
        <f>SUM(B8:G8)</f>
        <v/>
      </c>
    </row>
    <row r="9" ht="16" customHeight="1">
      <c r="A9" s="11" t="n">
        <v>2004</v>
      </c>
      <c r="B9" s="26" t="n">
        <v>313</v>
      </c>
      <c r="C9" s="26" t="n">
        <v>0</v>
      </c>
      <c r="D9" s="26" t="n">
        <v>120</v>
      </c>
      <c r="E9" s="26" t="n">
        <v>2400</v>
      </c>
      <c r="F9" s="26" t="n">
        <v>0</v>
      </c>
      <c r="G9" s="26" t="n">
        <v>0</v>
      </c>
      <c r="H9" s="15">
        <f>SUM(B9:G9)</f>
        <v/>
      </c>
    </row>
    <row r="10" ht="16" customHeight="1">
      <c r="A10" s="11" t="n">
        <v>2005</v>
      </c>
      <c r="B10" s="27" t="n">
        <v>500</v>
      </c>
      <c r="C10" s="27" t="n">
        <v>0</v>
      </c>
      <c r="D10" s="27" t="n">
        <v>150</v>
      </c>
      <c r="E10" s="27" t="n">
        <v>3450</v>
      </c>
      <c r="F10" s="27" t="n">
        <v>50</v>
      </c>
      <c r="G10" s="27" t="n">
        <v>-750</v>
      </c>
      <c r="H10" s="15">
        <f>SUM(B10:G10)</f>
        <v/>
      </c>
    </row>
    <row r="11" ht="16" customHeight="1">
      <c r="A11" s="11" t="n">
        <v>2006</v>
      </c>
      <c r="B11" s="26" t="n">
        <v>700</v>
      </c>
      <c r="C11" s="26" t="n">
        <v>0</v>
      </c>
      <c r="D11" s="26" t="n">
        <v>200</v>
      </c>
      <c r="E11" s="26" t="n">
        <v>6350</v>
      </c>
      <c r="F11" s="26" t="n">
        <v>150</v>
      </c>
      <c r="G11" s="26" t="n">
        <v>-750</v>
      </c>
      <c r="H11" s="15">
        <f>SUM(B11:G11)</f>
        <v/>
      </c>
    </row>
    <row r="12" ht="16" customHeight="1">
      <c r="A12" s="11" t="n">
        <v>2007</v>
      </c>
      <c r="B12" s="27" t="n">
        <v>1000</v>
      </c>
      <c r="C12" s="27" t="n">
        <v>0</v>
      </c>
      <c r="D12" s="27" t="n">
        <v>400</v>
      </c>
      <c r="E12" s="27" t="n">
        <v>10200</v>
      </c>
      <c r="F12" s="27" t="n">
        <v>300</v>
      </c>
      <c r="G12" s="27" t="n">
        <v>-750</v>
      </c>
      <c r="H12" s="15">
        <f>SUM(B12:G12)</f>
        <v/>
      </c>
    </row>
    <row r="13" ht="16" customHeight="1">
      <c r="A13" s="11" t="n">
        <v>2008</v>
      </c>
      <c r="B13" s="26" t="n">
        <v>400</v>
      </c>
      <c r="C13" s="26" t="n">
        <v>0</v>
      </c>
      <c r="D13" s="26" t="n">
        <v>200</v>
      </c>
      <c r="E13" s="26" t="n">
        <v>34000</v>
      </c>
      <c r="F13" s="26" t="n">
        <v>500</v>
      </c>
      <c r="G13" s="26" t="n">
        <v>-750</v>
      </c>
      <c r="H13" s="15">
        <f>SUM(B13:G13)</f>
        <v/>
      </c>
    </row>
    <row r="14" ht="16" customHeight="1">
      <c r="A14" s="11" t="n">
        <v>2009</v>
      </c>
      <c r="B14" s="27" t="n">
        <v>820</v>
      </c>
      <c r="C14" s="27" t="n">
        <v>0</v>
      </c>
      <c r="D14" s="27" t="n">
        <v>300</v>
      </c>
      <c r="E14" s="27" t="n">
        <v>48000</v>
      </c>
      <c r="F14" s="27" t="n">
        <v>800</v>
      </c>
      <c r="G14" s="27" t="n">
        <v>-750</v>
      </c>
      <c r="H14" s="15">
        <f>SUM(B14:G14)</f>
        <v/>
      </c>
    </row>
    <row r="15" ht="16" customHeight="1">
      <c r="A15" s="11" t="n">
        <v>2010</v>
      </c>
      <c r="B15" s="26" t="n">
        <v>1200</v>
      </c>
      <c r="C15" s="26" t="n">
        <v>50</v>
      </c>
      <c r="D15" s="26" t="n">
        <v>400</v>
      </c>
      <c r="E15" s="26" t="n">
        <v>52600</v>
      </c>
      <c r="F15" s="26" t="n">
        <v>1200</v>
      </c>
      <c r="G15" s="26" t="n">
        <v>-750</v>
      </c>
      <c r="H15" s="15">
        <f>SUM(B15:G15)</f>
        <v/>
      </c>
    </row>
    <row r="16" ht="16" customHeight="1">
      <c r="A16" s="11" t="n">
        <v>2011</v>
      </c>
      <c r="B16" s="27" t="n">
        <v>1800</v>
      </c>
      <c r="C16" s="27" t="n">
        <v>300</v>
      </c>
      <c r="D16" s="27" t="n">
        <v>450</v>
      </c>
      <c r="E16" s="27" t="n">
        <v>55950</v>
      </c>
      <c r="F16" s="27" t="n">
        <v>1800</v>
      </c>
      <c r="G16" s="27" t="n">
        <v>-750</v>
      </c>
      <c r="H16" s="15">
        <f>SUM(B16:G16)</f>
        <v/>
      </c>
    </row>
    <row r="17" ht="16" customHeight="1">
      <c r="A17" s="11" t="n">
        <v>2012</v>
      </c>
      <c r="B17" s="26" t="n">
        <v>2500</v>
      </c>
      <c r="C17" s="26" t="n">
        <v>1500</v>
      </c>
      <c r="D17" s="26" t="n">
        <v>500</v>
      </c>
      <c r="E17" s="26" t="n">
        <v>65000</v>
      </c>
      <c r="F17" s="26" t="n">
        <v>2500</v>
      </c>
      <c r="G17" s="26" t="n">
        <v>-750</v>
      </c>
      <c r="H17" s="15">
        <f>SUM(B17:G17)</f>
        <v/>
      </c>
    </row>
    <row r="18" ht="16" customHeight="1">
      <c r="A18" s="11" t="n">
        <v>2013</v>
      </c>
      <c r="B18" s="27" t="n">
        <v>4000</v>
      </c>
      <c r="C18" s="27" t="n">
        <v>5000</v>
      </c>
      <c r="D18" s="27" t="n">
        <v>550</v>
      </c>
      <c r="E18" s="27" t="n">
        <v>79900</v>
      </c>
      <c r="F18" s="27" t="n">
        <v>3500</v>
      </c>
      <c r="G18" s="27" t="n">
        <v>-750</v>
      </c>
      <c r="H18" s="15">
        <f>SUM(B18:G18)</f>
        <v/>
      </c>
    </row>
    <row r="19" ht="16" customHeight="1">
      <c r="A19" s="11" t="n">
        <v>2014</v>
      </c>
      <c r="B19" s="26" t="n">
        <v>6000</v>
      </c>
      <c r="C19" s="26" t="n">
        <v>3000</v>
      </c>
      <c r="D19" s="26" t="n">
        <v>600</v>
      </c>
      <c r="E19" s="26" t="n">
        <v>89400</v>
      </c>
      <c r="F19" s="26" t="n">
        <v>5000</v>
      </c>
      <c r="G19" s="26" t="n">
        <v>-750</v>
      </c>
      <c r="H19" s="15">
        <f>SUM(B19:G19)</f>
        <v/>
      </c>
    </row>
    <row r="20" ht="16" customHeight="1">
      <c r="A20" s="11" t="n">
        <v>2015</v>
      </c>
      <c r="B20" s="27" t="n">
        <v>8000</v>
      </c>
      <c r="C20" s="27" t="n">
        <v>4000</v>
      </c>
      <c r="D20" s="27" t="n">
        <v>620</v>
      </c>
      <c r="E20" s="27" t="n">
        <v>104380</v>
      </c>
      <c r="F20" s="27" t="n">
        <v>7000</v>
      </c>
      <c r="G20" s="27" t="n">
        <v>-750</v>
      </c>
      <c r="H20" s="15">
        <f>SUM(B20:G20)</f>
        <v/>
      </c>
    </row>
    <row r="21" ht="16" customHeight="1">
      <c r="A21" s="11" t="n">
        <v>2016</v>
      </c>
      <c r="B21" s="26" t="n">
        <v>10000</v>
      </c>
      <c r="C21" s="26" t="n">
        <v>8000</v>
      </c>
      <c r="D21" s="26" t="n">
        <v>650</v>
      </c>
      <c r="E21" s="26" t="n">
        <v>129350</v>
      </c>
      <c r="F21" s="26" t="n">
        <v>9000</v>
      </c>
      <c r="G21" s="26" t="n">
        <v>-750</v>
      </c>
      <c r="H21" s="15">
        <f>SUM(B21:G21)</f>
        <v/>
      </c>
    </row>
    <row r="22" ht="16" customHeight="1">
      <c r="A22" s="11" t="n">
        <v>2017</v>
      </c>
      <c r="B22" s="27" t="n">
        <v>14000</v>
      </c>
      <c r="C22" s="27" t="n">
        <v>50000</v>
      </c>
      <c r="D22" s="27" t="n">
        <v>700</v>
      </c>
      <c r="E22" s="27" t="n">
        <v>154300</v>
      </c>
      <c r="F22" s="27" t="n">
        <v>12000</v>
      </c>
      <c r="G22" s="27" t="n">
        <v>-750</v>
      </c>
      <c r="H22" s="15">
        <f>SUM(B22:G22)</f>
        <v/>
      </c>
    </row>
    <row r="23" ht="16" customHeight="1">
      <c r="A23" s="11" t="n">
        <v>2018</v>
      </c>
      <c r="B23" s="26" t="n">
        <v>10000</v>
      </c>
      <c r="C23" s="26" t="n">
        <v>15000</v>
      </c>
      <c r="D23" s="26" t="n">
        <v>750</v>
      </c>
      <c r="E23" s="26" t="n">
        <v>152250</v>
      </c>
      <c r="F23" s="26" t="n">
        <v>15000</v>
      </c>
      <c r="G23" s="26" t="n">
        <v>-750</v>
      </c>
      <c r="H23" s="15">
        <f>SUM(B23:G23)</f>
        <v/>
      </c>
    </row>
    <row r="24" ht="16" customHeight="1">
      <c r="A24" s="11" t="n">
        <v>2019</v>
      </c>
      <c r="B24" s="27" t="n">
        <v>18000</v>
      </c>
      <c r="C24" s="27" t="n">
        <v>20000</v>
      </c>
      <c r="D24" s="27" t="n">
        <v>800</v>
      </c>
      <c r="E24" s="27" t="n">
        <v>208200</v>
      </c>
      <c r="F24" s="27" t="n">
        <v>18000</v>
      </c>
      <c r="G24" s="27" t="n">
        <v>-750</v>
      </c>
      <c r="H24" s="15">
        <f>SUM(B24:G24)</f>
        <v/>
      </c>
    </row>
    <row r="25" ht="16" customHeight="1">
      <c r="A25" s="11" t="n">
        <v>2020</v>
      </c>
      <c r="B25" s="26" t="n">
        <v>35000</v>
      </c>
      <c r="C25" s="26" t="n">
        <v>80000</v>
      </c>
      <c r="D25" s="26" t="n">
        <v>850</v>
      </c>
      <c r="E25" s="26" t="n">
        <v>480150</v>
      </c>
      <c r="F25" s="26" t="n">
        <v>22000</v>
      </c>
      <c r="G25" s="26" t="n">
        <v>-750</v>
      </c>
      <c r="H25" s="15">
        <f>SUM(B25:G25)</f>
        <v/>
      </c>
    </row>
    <row r="26" ht="16" customHeight="1">
      <c r="A26" s="11" t="n">
        <v>2021</v>
      </c>
      <c r="B26" s="27" t="n">
        <v>50000</v>
      </c>
      <c r="C26" s="27" t="n">
        <v>200000</v>
      </c>
      <c r="D26" s="27" t="n">
        <v>900</v>
      </c>
      <c r="E26" s="27" t="n">
        <v>1246100</v>
      </c>
      <c r="F26" s="27" t="n">
        <v>27000</v>
      </c>
      <c r="G26" s="27" t="n">
        <v>-750</v>
      </c>
      <c r="H26" s="15">
        <f>SUM(B26:G26)</f>
        <v/>
      </c>
    </row>
    <row r="27" ht="16" customHeight="1">
      <c r="A27" s="11" t="n">
        <v>2022</v>
      </c>
      <c r="B27" s="26" t="n">
        <v>20000</v>
      </c>
      <c r="C27" s="26" t="n">
        <v>50000</v>
      </c>
      <c r="D27" s="26" t="n">
        <v>850</v>
      </c>
      <c r="E27" s="26" t="n">
        <v>926150</v>
      </c>
      <c r="F27" s="26" t="n">
        <v>30000</v>
      </c>
      <c r="G27" s="26" t="n">
        <v>-750</v>
      </c>
      <c r="H27" s="15">
        <f>SUM(B27:G27)</f>
        <v/>
      </c>
    </row>
    <row r="28" ht="16" customHeight="1">
      <c r="A28" s="11" t="n">
        <v>2023</v>
      </c>
      <c r="B28" s="27" t="n">
        <v>46000</v>
      </c>
      <c r="C28" s="27" t="n">
        <v>130000</v>
      </c>
      <c r="D28" s="27" t="n">
        <v>620</v>
      </c>
      <c r="E28" s="27" t="n">
        <v>37444096</v>
      </c>
      <c r="F28" s="27" t="n">
        <v>40000</v>
      </c>
      <c r="G28" s="27" t="n">
        <v>-750</v>
      </c>
      <c r="H28" s="15">
        <f>SUM(B28:G28)</f>
        <v/>
      </c>
    </row>
    <row r="29" ht="16" customHeight="1">
      <c r="A29" s="11" t="n">
        <v>2024</v>
      </c>
      <c r="B29" s="26" t="inlineStr">
        <is>
          <t>진행중</t>
        </is>
      </c>
      <c r="C29" s="26" t="inlineStr">
        <is>
          <t>진행중</t>
        </is>
      </c>
      <c r="D29" s="26" t="inlineStr">
        <is>
          <t>진행중</t>
        </is>
      </c>
      <c r="E29" s="26" t="inlineStr">
        <is>
          <t>진행중</t>
        </is>
      </c>
      <c r="F29" s="26" t="inlineStr">
        <is>
          <t>진행중</t>
        </is>
      </c>
      <c r="G29" s="26" t="inlineStr">
        <is>
          <t>진행중</t>
        </is>
      </c>
      <c r="H29" s="15" t="inlineStr">
        <is>
          <t>EQUILIBRIUM 진행 중</t>
        </is>
      </c>
    </row>
    <row r="30">
      <c r="A30" t="n">
        <v>2025</v>
      </c>
      <c r="B30" t="inlineStr">
        <is>
          <t>진행중</t>
        </is>
      </c>
      <c r="C30" t="inlineStr">
        <is>
          <t>진행중</t>
        </is>
      </c>
      <c r="D30" t="inlineStr">
        <is>
          <t>진행중</t>
        </is>
      </c>
      <c r="E30" t="inlineStr">
        <is>
          <t>진행중</t>
        </is>
      </c>
      <c r="F30" t="inlineStr">
        <is>
          <t>진행중</t>
        </is>
      </c>
      <c r="G30" t="inlineStr">
        <is>
          <t>진행중</t>
        </is>
      </c>
      <c r="H30" t="inlineStr">
        <is>
          <t>EQUILIBRIUM 진행 중</t>
        </is>
      </c>
    </row>
    <row r="31">
      <c r="A31" t="n">
        <v>2026</v>
      </c>
      <c r="B31" t="inlineStr">
        <is>
          <t>미확정</t>
        </is>
      </c>
      <c r="C31" t="inlineStr">
        <is>
          <t>미확정</t>
        </is>
      </c>
      <c r="D31" t="inlineStr">
        <is>
          <t>미확정</t>
        </is>
      </c>
      <c r="E31" t="inlineStr">
        <is>
          <t>미확정</t>
        </is>
      </c>
      <c r="F31" t="inlineStr">
        <is>
          <t>미확정</t>
        </is>
      </c>
      <c r="G31" t="inlineStr">
        <is>
          <t>미확정</t>
        </is>
      </c>
      <c r="H31" t="inlineStr">
        <is>
          <t>EQUILIBRIUM 완료 / 100경원 확정 (2026.06)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K — 글로벌 위기 숏 포지션 (20배 레버리지)</t>
        </is>
      </c>
    </row>
    <row r="2" ht="28" customHeight="1">
      <c r="A2" s="5" t="inlineStr">
        <is>
          <t>구분</t>
        </is>
      </c>
      <c r="B2" s="5" t="inlineStr">
        <is>
          <t>시기</t>
        </is>
      </c>
      <c r="C2" s="5" t="inlineStr">
        <is>
          <t>대상</t>
        </is>
      </c>
      <c r="D2" s="5" t="inlineStr">
        <is>
          <t>레버리지</t>
        </is>
      </c>
      <c r="E2" s="5" t="inlineStr">
        <is>
          <t>진입</t>
        </is>
      </c>
      <c r="F2" s="5" t="inlineStr">
        <is>
          <t>청산</t>
        </is>
      </c>
      <c r="G2" s="5" t="inlineStr">
        <is>
          <t>하락폭</t>
        </is>
      </c>
      <c r="H2" s="5" t="inlineStr">
        <is>
          <t>투입시드($M)</t>
        </is>
      </c>
      <c r="I2" s="5" t="inlineStr">
        <is>
          <t>수익($M)</t>
        </is>
      </c>
    </row>
    <row r="3" ht="20" customHeight="1">
      <c r="A3" s="29" t="inlineStr">
        <is>
          <t>1차</t>
        </is>
      </c>
      <c r="B3" s="29" t="inlineStr">
        <is>
          <t>2000.03~2002</t>
        </is>
      </c>
      <c r="C3" s="29" t="inlineStr">
        <is>
          <t>S&amp;P500/나스닥 선물</t>
        </is>
      </c>
      <c r="D3" s="29" t="inlineStr">
        <is>
          <t>20배</t>
        </is>
      </c>
      <c r="E3" s="29" t="inlineStr">
        <is>
          <t>나스닥5,000</t>
        </is>
      </c>
      <c r="F3" s="29" t="inlineStr">
        <is>
          <t>나스닥1,100</t>
        </is>
      </c>
      <c r="G3" s="29" t="inlineStr">
        <is>
          <t>-78%</t>
        </is>
      </c>
      <c r="H3" s="26" t="n">
        <v>500</v>
      </c>
      <c r="I3" s="26" t="n">
        <v>9000</v>
      </c>
    </row>
    <row r="4" ht="20" customHeight="1">
      <c r="A4" s="30" t="inlineStr">
        <is>
          <t>2차</t>
        </is>
      </c>
      <c r="B4" s="30" t="inlineStr">
        <is>
          <t>2008.06~2009</t>
        </is>
      </c>
      <c r="C4" s="30" t="inlineStr">
        <is>
          <t>S&amp;P500/금융주/CDS</t>
        </is>
      </c>
      <c r="D4" s="30" t="inlineStr">
        <is>
          <t>20배</t>
        </is>
      </c>
      <c r="E4" s="30" t="inlineStr">
        <is>
          <t>S&amp;P 1,350</t>
        </is>
      </c>
      <c r="F4" s="30" t="inlineStr">
        <is>
          <t>S&amp;P 680</t>
        </is>
      </c>
      <c r="G4" s="30" t="inlineStr">
        <is>
          <t>-49%</t>
        </is>
      </c>
      <c r="H4" s="27" t="n">
        <v>2000</v>
      </c>
      <c r="I4" s="27" t="n">
        <v>22000</v>
      </c>
    </row>
    <row r="5" ht="20" customHeight="1">
      <c r="A5" s="29" t="inlineStr">
        <is>
          <t>3차</t>
        </is>
      </c>
      <c r="B5" s="29" t="inlineStr">
        <is>
          <t>2020.02~03</t>
        </is>
      </c>
      <c r="C5" s="29" t="inlineStr">
        <is>
          <t>S&amp;P500/항공·에너지</t>
        </is>
      </c>
      <c r="D5" s="29" t="inlineStr">
        <is>
          <t>20배</t>
        </is>
      </c>
      <c r="E5" s="29" t="inlineStr">
        <is>
          <t>S&amp;P 3,350</t>
        </is>
      </c>
      <c r="F5" s="29" t="inlineStr">
        <is>
          <t>S&amp;P 2,200</t>
        </is>
      </c>
      <c r="G5" s="29" t="inlineStr">
        <is>
          <t>-34%</t>
        </is>
      </c>
      <c r="H5" s="26" t="n">
        <v>5000</v>
      </c>
      <c r="I5" s="26" t="n">
        <v>54000</v>
      </c>
    </row>
    <row r="6" ht="20" customHeight="1">
      <c r="A6" s="30" t="inlineStr">
        <is>
          <t>4차</t>
        </is>
      </c>
      <c r="B6" s="30" t="inlineStr">
        <is>
          <t>2022.01~10</t>
        </is>
      </c>
      <c r="C6" s="30" t="inlineStr">
        <is>
          <t>나스닥/테크/채권선물</t>
        </is>
      </c>
      <c r="D6" s="30" t="inlineStr">
        <is>
          <t>20배</t>
        </is>
      </c>
      <c r="E6" s="30" t="inlineStr">
        <is>
          <t>나스닥16,000</t>
        </is>
      </c>
      <c r="F6" s="30" t="inlineStr">
        <is>
          <t>나스닥10,500</t>
        </is>
      </c>
      <c r="G6" s="30" t="inlineStr">
        <is>
          <t>-34%</t>
        </is>
      </c>
      <c r="H6" s="27" t="n">
        <v>10000</v>
      </c>
      <c r="I6" s="27" t="n">
        <v>78000</v>
      </c>
    </row>
    <row r="7" ht="20" customHeight="1">
      <c r="A7" s="29" t="inlineStr">
        <is>
          <t>5차</t>
        </is>
      </c>
      <c r="B7" s="29" t="inlineStr">
        <is>
          <t>2022.04~11</t>
        </is>
      </c>
      <c r="C7" s="29" t="inlineStr">
        <is>
          <t>BTC/ETH/알트선물</t>
        </is>
      </c>
      <c r="D7" s="29" t="inlineStr">
        <is>
          <t>20배</t>
        </is>
      </c>
      <c r="E7" s="29" t="inlineStr">
        <is>
          <t>BTC $45,000</t>
        </is>
      </c>
      <c r="F7" s="29" t="inlineStr">
        <is>
          <t>BTC $16,000</t>
        </is>
      </c>
      <c r="G7" s="29" t="inlineStr">
        <is>
          <t>-64%</t>
        </is>
      </c>
      <c r="H7" s="26" t="n">
        <v>5000</v>
      </c>
      <c r="I7" s="26" t="n">
        <v>69000</v>
      </c>
    </row>
    <row r="8">
      <c r="A8" s="14" t="inlineStr">
        <is>
          <t>합계</t>
        </is>
      </c>
      <c r="H8" s="15">
        <f>SUM(H3:H7)</f>
        <v/>
      </c>
      <c r="I8" s="15">
        <f>SUM(I3:I7)</f>
        <v/>
      </c>
    </row>
  </sheetData>
  <mergeCells count="2">
    <mergeCell ref="A1:I1"/>
    <mergeCell ref="A8:G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K — 알트코인 매집/매도 내역</t>
        </is>
      </c>
    </row>
    <row r="2" ht="28" customHeight="1">
      <c r="A2" s="5" t="inlineStr">
        <is>
          <t>종목</t>
        </is>
      </c>
      <c r="B2" s="5" t="inlineStr">
        <is>
          <t>구분</t>
        </is>
      </c>
      <c r="C2" s="5" t="inlineStr">
        <is>
          <t>시기</t>
        </is>
      </c>
      <c r="D2" s="5" t="inlineStr">
        <is>
          <t>단가($)</t>
        </is>
      </c>
      <c r="E2" s="5" t="inlineStr">
        <is>
          <t>수량</t>
        </is>
      </c>
      <c r="F2" s="5" t="inlineStr">
        <is>
          <t>거래금액($M)</t>
        </is>
      </c>
      <c r="G2" s="5" t="inlineStr">
        <is>
          <t>누적매도차익($M)</t>
        </is>
      </c>
      <c r="H2" s="5" t="inlineStr">
        <is>
          <t>2024초 평가액($M)</t>
        </is>
      </c>
    </row>
    <row r="3" ht="18" customHeight="1">
      <c r="A3" s="34" t="inlineStr">
        <is>
          <t>ETH</t>
        </is>
      </c>
      <c r="B3" s="34" t="inlineStr">
        <is>
          <t>최초매집</t>
        </is>
      </c>
      <c r="C3" s="34" t="inlineStr">
        <is>
          <t>2015.07</t>
        </is>
      </c>
      <c r="D3" s="28" t="n">
        <v>0.3</v>
      </c>
      <c r="E3" s="34" t="inlineStr">
        <is>
          <t>2,000,000</t>
        </is>
      </c>
      <c r="F3" s="28" t="n">
        <v>0.6</v>
      </c>
      <c r="G3" s="28" t="inlineStr">
        <is>
          <t>-</t>
        </is>
      </c>
      <c r="H3" s="28" t="inlineStr">
        <is>
          <t>-</t>
        </is>
      </c>
    </row>
    <row r="4" ht="18" customHeight="1">
      <c r="A4" s="34" t="inlineStr">
        <is>
          <t>ETH</t>
        </is>
      </c>
      <c r="B4" s="34" t="inlineStr">
        <is>
          <t>추가매집</t>
        </is>
      </c>
      <c r="C4" s="34" t="inlineStr">
        <is>
          <t>2016</t>
        </is>
      </c>
      <c r="D4" s="28" t="n">
        <v>1</v>
      </c>
      <c r="E4" s="34" t="inlineStr">
        <is>
          <t>1,000,000</t>
        </is>
      </c>
      <c r="F4" s="28" t="n">
        <v>1</v>
      </c>
      <c r="G4" s="28" t="inlineStr">
        <is>
          <t>-</t>
        </is>
      </c>
      <c r="H4" s="28" t="inlineStr">
        <is>
          <t>-</t>
        </is>
      </c>
    </row>
    <row r="5" ht="18" customHeight="1">
      <c r="A5" s="34" t="inlineStr">
        <is>
          <t>ETH</t>
        </is>
      </c>
      <c r="B5" s="34" t="inlineStr">
        <is>
          <t>1차매도</t>
        </is>
      </c>
      <c r="C5" s="34" t="inlineStr">
        <is>
          <t>2018.01</t>
        </is>
      </c>
      <c r="D5" s="28" t="n">
        <v>1400</v>
      </c>
      <c r="E5" s="34" t="inlineStr">
        <is>
          <t>1,000,000</t>
        </is>
      </c>
      <c r="F5" s="28" t="n">
        <v>1400</v>
      </c>
      <c r="G5" s="28" t="inlineStr">
        <is>
          <t>-</t>
        </is>
      </c>
      <c r="H5" s="28" t="inlineStr">
        <is>
          <t>-</t>
        </is>
      </c>
    </row>
    <row r="6" ht="18" customHeight="1">
      <c r="A6" s="34" t="inlineStr">
        <is>
          <t>ETH</t>
        </is>
      </c>
      <c r="B6" s="34" t="inlineStr">
        <is>
          <t>재진입</t>
        </is>
      </c>
      <c r="C6" s="34" t="inlineStr">
        <is>
          <t>2018.12</t>
        </is>
      </c>
      <c r="D6" s="28" t="n">
        <v>85</v>
      </c>
      <c r="E6" s="34" t="inlineStr">
        <is>
          <t>1,000,000</t>
        </is>
      </c>
      <c r="F6" s="28" t="n">
        <v>85</v>
      </c>
      <c r="G6" s="28" t="inlineStr">
        <is>
          <t>-</t>
        </is>
      </c>
      <c r="H6" s="28" t="inlineStr">
        <is>
          <t>-</t>
        </is>
      </c>
    </row>
    <row r="7" ht="18" customHeight="1">
      <c r="A7" s="34" t="inlineStr">
        <is>
          <t>ETH</t>
        </is>
      </c>
      <c r="B7" s="34" t="inlineStr">
        <is>
          <t>2차매도</t>
        </is>
      </c>
      <c r="C7" s="34" t="inlineStr">
        <is>
          <t>2021.11</t>
        </is>
      </c>
      <c r="D7" s="28" t="n">
        <v>4800</v>
      </c>
      <c r="E7" s="34" t="inlineStr">
        <is>
          <t>1,500,000</t>
        </is>
      </c>
      <c r="F7" s="28" t="n">
        <v>7200</v>
      </c>
      <c r="G7" s="28" t="inlineStr">
        <is>
          <t>-</t>
        </is>
      </c>
      <c r="H7" s="28" t="inlineStr">
        <is>
          <t>-</t>
        </is>
      </c>
    </row>
    <row r="8" ht="18" customHeight="1">
      <c r="A8" s="34" t="inlineStr">
        <is>
          <t>ETH</t>
        </is>
      </c>
      <c r="B8" s="34" t="inlineStr">
        <is>
          <t>재진입</t>
        </is>
      </c>
      <c r="C8" s="34" t="inlineStr">
        <is>
          <t>2022.06</t>
        </is>
      </c>
      <c r="D8" s="28" t="n">
        <v>900</v>
      </c>
      <c r="E8" s="34" t="inlineStr">
        <is>
          <t>1,500,000</t>
        </is>
      </c>
      <c r="F8" s="28" t="n">
        <v>1350</v>
      </c>
      <c r="G8" s="28" t="inlineStr">
        <is>
          <t>-</t>
        </is>
      </c>
      <c r="H8" s="28" t="inlineStr">
        <is>
          <t>-</t>
        </is>
      </c>
    </row>
    <row r="9" ht="18" customHeight="1">
      <c r="A9" s="34" t="inlineStr">
        <is>
          <t>ETH</t>
        </is>
      </c>
      <c r="B9" s="34" t="inlineStr">
        <is>
          <t>2024초보유</t>
        </is>
      </c>
      <c r="C9" s="34" t="inlineStr">
        <is>
          <t>2024</t>
        </is>
      </c>
      <c r="D9" s="28" t="n">
        <v>2300</v>
      </c>
      <c r="E9" s="34" t="inlineStr">
        <is>
          <t>2,500,000</t>
        </is>
      </c>
      <c r="F9" s="28" t="n">
        <v>5750</v>
      </c>
      <c r="G9" s="28" t="n">
        <v>8500</v>
      </c>
      <c r="H9" s="28" t="n">
        <v>5750</v>
      </c>
    </row>
    <row r="10" ht="18" customHeight="1">
      <c r="A10" s="35" t="inlineStr">
        <is>
          <t>BNB</t>
        </is>
      </c>
      <c r="B10" s="35" t="inlineStr">
        <is>
          <t>최초매집</t>
        </is>
      </c>
      <c r="C10" s="35" t="inlineStr">
        <is>
          <t>2017.07</t>
        </is>
      </c>
      <c r="D10" s="36" t="n">
        <v>0.1</v>
      </c>
      <c r="E10" s="35" t="inlineStr">
        <is>
          <t>10,000,000</t>
        </is>
      </c>
      <c r="F10" s="36" t="n">
        <v>1</v>
      </c>
      <c r="G10" s="36" t="inlineStr">
        <is>
          <t>-</t>
        </is>
      </c>
      <c r="H10" s="36" t="inlineStr">
        <is>
          <t>-</t>
        </is>
      </c>
    </row>
    <row r="11" ht="18" customHeight="1">
      <c r="A11" s="35" t="inlineStr">
        <is>
          <t>BNB</t>
        </is>
      </c>
      <c r="B11" s="35" t="inlineStr">
        <is>
          <t>1차매도</t>
        </is>
      </c>
      <c r="C11" s="35" t="inlineStr">
        <is>
          <t>2018.01</t>
        </is>
      </c>
      <c r="D11" s="36" t="n">
        <v>25</v>
      </c>
      <c r="E11" s="35" t="inlineStr">
        <is>
          <t>3,000,000</t>
        </is>
      </c>
      <c r="F11" s="36" t="n">
        <v>75</v>
      </c>
      <c r="G11" s="36" t="inlineStr">
        <is>
          <t>-</t>
        </is>
      </c>
      <c r="H11" s="36" t="inlineStr">
        <is>
          <t>-</t>
        </is>
      </c>
    </row>
    <row r="12" ht="18" customHeight="1">
      <c r="A12" s="35" t="inlineStr">
        <is>
          <t>BNB</t>
        </is>
      </c>
      <c r="B12" s="35" t="inlineStr">
        <is>
          <t>재진입</t>
        </is>
      </c>
      <c r="C12" s="35" t="inlineStr">
        <is>
          <t>2018.12</t>
        </is>
      </c>
      <c r="D12" s="36" t="n">
        <v>4</v>
      </c>
      <c r="E12" s="35" t="inlineStr">
        <is>
          <t>3,000,000</t>
        </is>
      </c>
      <c r="F12" s="36" t="n">
        <v>12</v>
      </c>
      <c r="G12" s="36" t="inlineStr">
        <is>
          <t>-</t>
        </is>
      </c>
      <c r="H12" s="36" t="inlineStr">
        <is>
          <t>-</t>
        </is>
      </c>
    </row>
    <row r="13" ht="18" customHeight="1">
      <c r="A13" s="35" t="inlineStr">
        <is>
          <t>BNB</t>
        </is>
      </c>
      <c r="B13" s="35" t="inlineStr">
        <is>
          <t>2차매도</t>
        </is>
      </c>
      <c r="C13" s="35" t="inlineStr">
        <is>
          <t>2021.05</t>
        </is>
      </c>
      <c r="D13" s="36" t="n">
        <v>650</v>
      </c>
      <c r="E13" s="35" t="inlineStr">
        <is>
          <t>5,000,000</t>
        </is>
      </c>
      <c r="F13" s="36" t="n">
        <v>3250</v>
      </c>
      <c r="G13" s="36" t="inlineStr">
        <is>
          <t>-</t>
        </is>
      </c>
      <c r="H13" s="36" t="inlineStr">
        <is>
          <t>-</t>
        </is>
      </c>
    </row>
    <row r="14" ht="18" customHeight="1">
      <c r="A14" s="35" t="inlineStr">
        <is>
          <t>BNB</t>
        </is>
      </c>
      <c r="B14" s="35" t="inlineStr">
        <is>
          <t>재진입</t>
        </is>
      </c>
      <c r="C14" s="35" t="inlineStr">
        <is>
          <t>2022.06</t>
        </is>
      </c>
      <c r="D14" s="36" t="n">
        <v>180</v>
      </c>
      <c r="E14" s="35" t="inlineStr">
        <is>
          <t>5,000,000</t>
        </is>
      </c>
      <c r="F14" s="36" t="n">
        <v>900</v>
      </c>
      <c r="G14" s="36" t="inlineStr">
        <is>
          <t>-</t>
        </is>
      </c>
      <c r="H14" s="36" t="inlineStr">
        <is>
          <t>-</t>
        </is>
      </c>
    </row>
    <row r="15" ht="18" customHeight="1">
      <c r="A15" s="35" t="inlineStr">
        <is>
          <t>BNB</t>
        </is>
      </c>
      <c r="B15" s="35" t="inlineStr">
        <is>
          <t>2024초보유</t>
        </is>
      </c>
      <c r="C15" s="35" t="inlineStr">
        <is>
          <t>2024</t>
        </is>
      </c>
      <c r="D15" s="36" t="n">
        <v>320</v>
      </c>
      <c r="E15" s="35" t="inlineStr">
        <is>
          <t>10,000,000</t>
        </is>
      </c>
      <c r="F15" s="36" t="n">
        <v>3200</v>
      </c>
      <c r="G15" s="36" t="n">
        <v>5300</v>
      </c>
      <c r="H15" s="36" t="n">
        <v>3200</v>
      </c>
    </row>
    <row r="16" ht="18" customHeight="1">
      <c r="A16" s="37" t="inlineStr">
        <is>
          <t>SOL</t>
        </is>
      </c>
      <c r="B16" s="37" t="inlineStr">
        <is>
          <t>최초매집</t>
        </is>
      </c>
      <c r="C16" s="37" t="inlineStr">
        <is>
          <t>2020.04</t>
        </is>
      </c>
      <c r="D16" s="38" t="n">
        <v>0.5</v>
      </c>
      <c r="E16" s="37" t="inlineStr">
        <is>
          <t>5,000,000</t>
        </is>
      </c>
      <c r="F16" s="38" t="n">
        <v>2.5</v>
      </c>
      <c r="G16" s="38" t="inlineStr">
        <is>
          <t>-</t>
        </is>
      </c>
      <c r="H16" s="38" t="inlineStr">
        <is>
          <t>-</t>
        </is>
      </c>
    </row>
    <row r="17" ht="18" customHeight="1">
      <c r="A17" s="37" t="inlineStr">
        <is>
          <t>SOL</t>
        </is>
      </c>
      <c r="B17" s="37" t="inlineStr">
        <is>
          <t>추가매집</t>
        </is>
      </c>
      <c r="C17" s="37" t="inlineStr">
        <is>
          <t>2020.08</t>
        </is>
      </c>
      <c r="D17" s="38" t="n">
        <v>3</v>
      </c>
      <c r="E17" s="37" t="inlineStr">
        <is>
          <t>2,000,000</t>
        </is>
      </c>
      <c r="F17" s="38" t="n">
        <v>6</v>
      </c>
      <c r="G17" s="38" t="inlineStr">
        <is>
          <t>-</t>
        </is>
      </c>
      <c r="H17" s="38" t="inlineStr">
        <is>
          <t>-</t>
        </is>
      </c>
    </row>
    <row r="18" ht="18" customHeight="1">
      <c r="A18" s="37" t="inlineStr">
        <is>
          <t>SOL</t>
        </is>
      </c>
      <c r="B18" s="37" t="inlineStr">
        <is>
          <t>1차매도</t>
        </is>
      </c>
      <c r="C18" s="37" t="inlineStr">
        <is>
          <t>2021.11</t>
        </is>
      </c>
      <c r="D18" s="38" t="n">
        <v>250</v>
      </c>
      <c r="E18" s="37" t="inlineStr">
        <is>
          <t>3,500,000</t>
        </is>
      </c>
      <c r="F18" s="38" t="n">
        <v>875</v>
      </c>
      <c r="G18" s="38" t="inlineStr">
        <is>
          <t>-</t>
        </is>
      </c>
      <c r="H18" s="38" t="inlineStr">
        <is>
          <t>-</t>
        </is>
      </c>
    </row>
    <row r="19" ht="18" customHeight="1">
      <c r="A19" s="37" t="inlineStr">
        <is>
          <t>SOL</t>
        </is>
      </c>
      <c r="B19" s="37" t="inlineStr">
        <is>
          <t>재진입</t>
        </is>
      </c>
      <c r="C19" s="37" t="inlineStr">
        <is>
          <t>2022.12</t>
        </is>
      </c>
      <c r="D19" s="38" t="n">
        <v>8</v>
      </c>
      <c r="E19" s="37" t="inlineStr">
        <is>
          <t>3,500,000</t>
        </is>
      </c>
      <c r="F19" s="38" t="n">
        <v>28</v>
      </c>
      <c r="G19" s="38" t="inlineStr">
        <is>
          <t>-</t>
        </is>
      </c>
      <c r="H19" s="38" t="inlineStr">
        <is>
          <t>-</t>
        </is>
      </c>
    </row>
    <row r="20" ht="18" customHeight="1">
      <c r="A20" s="37" t="inlineStr">
        <is>
          <t>SOL</t>
        </is>
      </c>
      <c r="B20" s="37" t="inlineStr">
        <is>
          <t>2차매도</t>
        </is>
      </c>
      <c r="C20" s="37" t="inlineStr">
        <is>
          <t>2023.12</t>
        </is>
      </c>
      <c r="D20" s="38" t="n">
        <v>110</v>
      </c>
      <c r="E20" s="37" t="inlineStr">
        <is>
          <t>2,000,000</t>
        </is>
      </c>
      <c r="F20" s="38" t="n">
        <v>220</v>
      </c>
      <c r="G20" s="38" t="inlineStr">
        <is>
          <t>-</t>
        </is>
      </c>
      <c r="H20" s="38" t="inlineStr">
        <is>
          <t>-</t>
        </is>
      </c>
    </row>
    <row r="21" ht="18" customHeight="1">
      <c r="A21" s="37" t="inlineStr">
        <is>
          <t>SOL</t>
        </is>
      </c>
      <c r="B21" s="37" t="inlineStr">
        <is>
          <t>2024초보유</t>
        </is>
      </c>
      <c r="C21" s="37" t="inlineStr">
        <is>
          <t>2024</t>
        </is>
      </c>
      <c r="D21" s="38" t="n">
        <v>100</v>
      </c>
      <c r="E21" s="37" t="inlineStr">
        <is>
          <t>5,500,000</t>
        </is>
      </c>
      <c r="F21" s="38" t="n">
        <v>550</v>
      </c>
      <c r="G21" s="38" t="n">
        <v>1900</v>
      </c>
      <c r="H21" s="38" t="n">
        <v>550</v>
      </c>
    </row>
    <row r="22" ht="18" customHeight="1">
      <c r="A22" s="39" t="inlineStr">
        <is>
          <t>XRP</t>
        </is>
      </c>
      <c r="B22" s="39" t="inlineStr">
        <is>
          <t>최초매집</t>
        </is>
      </c>
      <c r="C22" s="39" t="inlineStr">
        <is>
          <t>2013</t>
        </is>
      </c>
      <c r="D22" s="40" t="n">
        <v>0.005</v>
      </c>
      <c r="E22" s="39" t="inlineStr">
        <is>
          <t>100,000,000</t>
        </is>
      </c>
      <c r="F22" s="40" t="n">
        <v>0.5</v>
      </c>
      <c r="G22" s="40" t="inlineStr">
        <is>
          <t>-</t>
        </is>
      </c>
      <c r="H22" s="40" t="inlineStr">
        <is>
          <t>-</t>
        </is>
      </c>
    </row>
    <row r="23" ht="18" customHeight="1">
      <c r="A23" s="39" t="inlineStr">
        <is>
          <t>XRP</t>
        </is>
      </c>
      <c r="B23" s="39" t="inlineStr">
        <is>
          <t>추가매집</t>
        </is>
      </c>
      <c r="C23" s="39" t="inlineStr">
        <is>
          <t>2014~2016</t>
        </is>
      </c>
      <c r="D23" s="40" t="n">
        <v>0.01</v>
      </c>
      <c r="E23" s="39" t="inlineStr">
        <is>
          <t>50,000,000</t>
        </is>
      </c>
      <c r="F23" s="40" t="n">
        <v>0.5</v>
      </c>
      <c r="G23" s="40" t="inlineStr">
        <is>
          <t>-</t>
        </is>
      </c>
      <c r="H23" s="40" t="inlineStr">
        <is>
          <t>-</t>
        </is>
      </c>
    </row>
    <row r="24" ht="18" customHeight="1">
      <c r="A24" s="39" t="inlineStr">
        <is>
          <t>XRP</t>
        </is>
      </c>
      <c r="B24" s="39" t="inlineStr">
        <is>
          <t>1차매도</t>
        </is>
      </c>
      <c r="C24" s="39" t="inlineStr">
        <is>
          <t>2018.01</t>
        </is>
      </c>
      <c r="D24" s="40" t="n">
        <v>3.5</v>
      </c>
      <c r="E24" s="39" t="inlineStr">
        <is>
          <t>80,000,000</t>
        </is>
      </c>
      <c r="F24" s="40" t="n">
        <v>280</v>
      </c>
      <c r="G24" s="40" t="inlineStr">
        <is>
          <t>-</t>
        </is>
      </c>
      <c r="H24" s="40" t="inlineStr">
        <is>
          <t>-</t>
        </is>
      </c>
    </row>
    <row r="25" ht="18" customHeight="1">
      <c r="A25" s="39" t="inlineStr">
        <is>
          <t>XRP</t>
        </is>
      </c>
      <c r="B25" s="39" t="inlineStr">
        <is>
          <t>재진입</t>
        </is>
      </c>
      <c r="C25" s="39" t="inlineStr">
        <is>
          <t>2018.12</t>
        </is>
      </c>
      <c r="D25" s="40" t="n">
        <v>0.25</v>
      </c>
      <c r="E25" s="39" t="inlineStr">
        <is>
          <t>80,000,000</t>
        </is>
      </c>
      <c r="F25" s="40" t="n">
        <v>20</v>
      </c>
      <c r="G25" s="40" t="inlineStr">
        <is>
          <t>-</t>
        </is>
      </c>
      <c r="H25" s="40" t="inlineStr">
        <is>
          <t>-</t>
        </is>
      </c>
    </row>
    <row r="26" ht="18" customHeight="1">
      <c r="A26" s="39" t="inlineStr">
        <is>
          <t>XRP</t>
        </is>
      </c>
      <c r="B26" s="39" t="inlineStr">
        <is>
          <t>2차매도</t>
        </is>
      </c>
      <c r="C26" s="39" t="inlineStr">
        <is>
          <t>2021.04</t>
        </is>
      </c>
      <c r="D26" s="40" t="n">
        <v>1.8</v>
      </c>
      <c r="E26" s="39" t="inlineStr">
        <is>
          <t>60,000,000</t>
        </is>
      </c>
      <c r="F26" s="40" t="n">
        <v>108</v>
      </c>
      <c r="G26" s="40" t="inlineStr">
        <is>
          <t>-</t>
        </is>
      </c>
      <c r="H26" s="40" t="inlineStr">
        <is>
          <t>-</t>
        </is>
      </c>
    </row>
    <row r="27" ht="18" customHeight="1">
      <c r="A27" s="39" t="inlineStr">
        <is>
          <t>XRP</t>
        </is>
      </c>
      <c r="B27" s="39" t="inlineStr">
        <is>
          <t>재진입</t>
        </is>
      </c>
      <c r="C27" s="39" t="inlineStr">
        <is>
          <t>2021.07</t>
        </is>
      </c>
      <c r="D27" s="40" t="n">
        <v>0.55</v>
      </c>
      <c r="E27" s="39" t="inlineStr">
        <is>
          <t>60,000,000</t>
        </is>
      </c>
      <c r="F27" s="40" t="n">
        <v>33</v>
      </c>
      <c r="G27" s="40" t="inlineStr">
        <is>
          <t>-</t>
        </is>
      </c>
      <c r="H27" s="40" t="inlineStr">
        <is>
          <t>-</t>
        </is>
      </c>
    </row>
    <row r="28" ht="18" customHeight="1">
      <c r="A28" s="39" t="inlineStr">
        <is>
          <t>XRP</t>
        </is>
      </c>
      <c r="B28" s="39" t="inlineStr">
        <is>
          <t>2024초보유</t>
        </is>
      </c>
      <c r="C28" s="39" t="inlineStr">
        <is>
          <t>2024</t>
        </is>
      </c>
      <c r="D28" s="40" t="n">
        <v>0.6</v>
      </c>
      <c r="E28" s="39" t="inlineStr">
        <is>
          <t>150,000,000</t>
        </is>
      </c>
      <c r="F28" s="40" t="n">
        <v>90</v>
      </c>
      <c r="G28" s="40" t="n">
        <v>3900</v>
      </c>
      <c r="H28" s="40" t="n">
        <v>90</v>
      </c>
    </row>
    <row r="29" ht="18" customHeight="1">
      <c r="A29" s="41" t="inlineStr">
        <is>
          <t>LINK</t>
        </is>
      </c>
      <c r="B29" s="41" t="inlineStr">
        <is>
          <t>최초매집</t>
        </is>
      </c>
      <c r="C29" s="41" t="inlineStr">
        <is>
          <t>2017.09</t>
        </is>
      </c>
      <c r="D29" s="42" t="n">
        <v>0.11</v>
      </c>
      <c r="E29" s="41" t="inlineStr">
        <is>
          <t>20,000,000</t>
        </is>
      </c>
      <c r="F29" s="42" t="n">
        <v>2.2</v>
      </c>
      <c r="G29" s="42" t="inlineStr">
        <is>
          <t>-</t>
        </is>
      </c>
      <c r="H29" s="42" t="inlineStr">
        <is>
          <t>-</t>
        </is>
      </c>
    </row>
    <row r="30" ht="18" customHeight="1">
      <c r="A30" s="41" t="inlineStr">
        <is>
          <t>LINK</t>
        </is>
      </c>
      <c r="B30" s="41" t="inlineStr">
        <is>
          <t>1차매도</t>
        </is>
      </c>
      <c r="C30" s="41" t="inlineStr">
        <is>
          <t>2021.05</t>
        </is>
      </c>
      <c r="D30" s="42" t="n">
        <v>50</v>
      </c>
      <c r="E30" s="41" t="inlineStr">
        <is>
          <t>10,000,000</t>
        </is>
      </c>
      <c r="F30" s="42" t="n">
        <v>500</v>
      </c>
      <c r="G30" s="42" t="inlineStr">
        <is>
          <t>-</t>
        </is>
      </c>
      <c r="H30" s="42" t="inlineStr">
        <is>
          <t>-</t>
        </is>
      </c>
    </row>
    <row r="31" ht="18" customHeight="1">
      <c r="A31" s="41" t="inlineStr">
        <is>
          <t>LINK</t>
        </is>
      </c>
      <c r="B31" s="41" t="inlineStr">
        <is>
          <t>재진입</t>
        </is>
      </c>
      <c r="C31" s="41" t="inlineStr">
        <is>
          <t>2022.06</t>
        </is>
      </c>
      <c r="D31" s="42" t="n">
        <v>5.5</v>
      </c>
      <c r="E31" s="41" t="inlineStr">
        <is>
          <t>10,000,000</t>
        </is>
      </c>
      <c r="F31" s="42" t="n">
        <v>55</v>
      </c>
      <c r="G31" s="42" t="inlineStr">
        <is>
          <t>-</t>
        </is>
      </c>
      <c r="H31" s="42" t="inlineStr">
        <is>
          <t>-</t>
        </is>
      </c>
    </row>
    <row r="32" ht="18" customHeight="1">
      <c r="A32" s="41" t="inlineStr">
        <is>
          <t>LINK</t>
        </is>
      </c>
      <c r="B32" s="41" t="inlineStr">
        <is>
          <t>2차매도</t>
        </is>
      </c>
      <c r="C32" s="41" t="inlineStr">
        <is>
          <t>2023.12</t>
        </is>
      </c>
      <c r="D32" s="42" t="n">
        <v>18</v>
      </c>
      <c r="E32" s="41" t="inlineStr">
        <is>
          <t>8,000,000</t>
        </is>
      </c>
      <c r="F32" s="42" t="n">
        <v>144</v>
      </c>
      <c r="G32" s="42" t="inlineStr">
        <is>
          <t>-</t>
        </is>
      </c>
      <c r="H32" s="42" t="inlineStr">
        <is>
          <t>-</t>
        </is>
      </c>
    </row>
    <row r="33" ht="18" customHeight="1">
      <c r="A33" s="41" t="inlineStr">
        <is>
          <t>LINK</t>
        </is>
      </c>
      <c r="B33" s="41" t="inlineStr">
        <is>
          <t>2024초보유</t>
        </is>
      </c>
      <c r="C33" s="41" t="inlineStr">
        <is>
          <t>2024</t>
        </is>
      </c>
      <c r="D33" s="42" t="n">
        <v>15</v>
      </c>
      <c r="E33" s="41" t="inlineStr">
        <is>
          <t>22,000,000</t>
        </is>
      </c>
      <c r="F33" s="42" t="n">
        <v>330</v>
      </c>
      <c r="G33" s="42" t="n">
        <v>2100</v>
      </c>
      <c r="H33" s="42" t="n">
        <v>330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10" customWidth="1" min="14" max="14"/>
  </cols>
  <sheetData>
    <row r="1" ht="35" customHeight="1">
      <c r="A1" s="43" t="inlineStr">
        <is>
          <t>K — 부동산 보유 현황 (건물)</t>
        </is>
      </c>
    </row>
    <row r="2" ht="30" customHeight="1">
      <c r="A2" s="44" t="inlineStr">
        <is>
          <t>물건</t>
        </is>
      </c>
      <c r="B2" s="44" t="inlineStr">
        <is>
          <t>위치</t>
        </is>
      </c>
      <c r="C2" s="44" t="inlineStr">
        <is>
          <t>매입시기</t>
        </is>
      </c>
      <c r="D2" s="44" t="inlineStr">
        <is>
          <t>매입가
($M)</t>
        </is>
      </c>
      <c r="E2" s="44" t="inlineStr">
        <is>
          <t>지상
(층)</t>
        </is>
      </c>
      <c r="F2" s="44" t="inlineStr">
        <is>
          <t>지하
(층)</t>
        </is>
      </c>
      <c r="G2" s="44" t="inlineStr">
        <is>
          <t>대지
(㎡)</t>
        </is>
      </c>
      <c r="H2" s="44" t="inlineStr">
        <is>
          <t>건평
(㎡)</t>
        </is>
      </c>
      <c r="I2" s="44" t="inlineStr">
        <is>
          <t>매도시기</t>
        </is>
      </c>
      <c r="J2" s="44" t="inlineStr">
        <is>
          <t>매도가
($M)</t>
        </is>
      </c>
      <c r="K2" s="44" t="inlineStr">
        <is>
          <t>수익
($M)</t>
        </is>
      </c>
      <c r="L2" s="44" t="inlineStr">
        <is>
          <t>현재추정가
($M)</t>
        </is>
      </c>
      <c r="M2" s="44" t="inlineStr">
        <is>
          <t>임대수익
(연 $M)</t>
        </is>
      </c>
      <c r="N2" s="44" t="inlineStr">
        <is>
          <t>현재상태</t>
        </is>
      </c>
    </row>
    <row r="3" ht="18" customHeight="1">
      <c r="A3" s="45" t="inlineStr">
        <is>
          <t>런던 시티 오피스</t>
        </is>
      </c>
      <c r="B3" s="45" t="inlineStr">
        <is>
          <t>영국 런던</t>
        </is>
      </c>
      <c r="C3" s="45" t="inlineStr">
        <is>
          <t>2002</t>
        </is>
      </c>
      <c r="D3" s="46" t="n">
        <v>15</v>
      </c>
      <c r="E3" s="47" t="n">
        <v>22</v>
      </c>
      <c r="F3" s="47" t="n">
        <v>3</v>
      </c>
      <c r="G3" s="47" t="n">
        <v>1200</v>
      </c>
      <c r="H3" s="47" t="n">
        <v>8500</v>
      </c>
      <c r="I3" s="45" t="inlineStr">
        <is>
          <t>2007</t>
        </is>
      </c>
      <c r="J3" s="46" t="n">
        <v>45</v>
      </c>
      <c r="K3" s="46" t="n">
        <v>30</v>
      </c>
      <c r="L3" s="46" t="n"/>
      <c r="M3" s="46" t="n"/>
      <c r="N3" s="45" t="inlineStr">
        <is>
          <t>매각완료</t>
        </is>
      </c>
    </row>
    <row r="4" ht="18" customHeight="1">
      <c r="A4" s="48" t="inlineStr">
        <is>
          <t>취리히 금융구역 오피스</t>
        </is>
      </c>
      <c r="B4" s="48" t="inlineStr">
        <is>
          <t>스위스 취리히</t>
        </is>
      </c>
      <c r="C4" s="48" t="inlineStr">
        <is>
          <t>2002</t>
        </is>
      </c>
      <c r="D4" s="49" t="n">
        <v>12</v>
      </c>
      <c r="E4" s="50" t="n">
        <v>18</v>
      </c>
      <c r="F4" s="50" t="n">
        <v>2</v>
      </c>
      <c r="G4" s="50" t="n">
        <v>980</v>
      </c>
      <c r="H4" s="50" t="n">
        <v>6200</v>
      </c>
      <c r="I4" s="48" t="inlineStr">
        <is>
          <t>2007</t>
        </is>
      </c>
      <c r="J4" s="49" t="n">
        <v>35</v>
      </c>
      <c r="K4" s="49" t="n">
        <v>23</v>
      </c>
      <c r="L4" s="49" t="n"/>
      <c r="M4" s="49" t="n"/>
      <c r="N4" s="48" t="inlineStr">
        <is>
          <t>매각완료</t>
        </is>
      </c>
    </row>
    <row r="5" ht="18" customHeight="1">
      <c r="A5" s="45" t="inlineStr">
        <is>
          <t>파리 라데팡스 오피스</t>
        </is>
      </c>
      <c r="B5" s="45" t="inlineStr">
        <is>
          <t>프랑스 파리</t>
        </is>
      </c>
      <c r="C5" s="45" t="inlineStr">
        <is>
          <t>2003</t>
        </is>
      </c>
      <c r="D5" s="46" t="n">
        <v>18</v>
      </c>
      <c r="E5" s="47" t="n">
        <v>25</v>
      </c>
      <c r="F5" s="47" t="n">
        <v>3</v>
      </c>
      <c r="G5" s="47" t="n">
        <v>1500</v>
      </c>
      <c r="H5" s="47" t="n">
        <v>11000</v>
      </c>
      <c r="I5" s="45" t="inlineStr">
        <is>
          <t>2007</t>
        </is>
      </c>
      <c r="J5" s="46" t="n">
        <v>52</v>
      </c>
      <c r="K5" s="46" t="n">
        <v>34</v>
      </c>
      <c r="L5" s="46" t="n"/>
      <c r="M5" s="46" t="n"/>
      <c r="N5" s="45" t="inlineStr">
        <is>
          <t>매각완료</t>
        </is>
      </c>
    </row>
    <row r="6" ht="18" customHeight="1">
      <c r="A6" s="48" t="inlineStr">
        <is>
          <t>뉴욕 맨해튼 오피스</t>
        </is>
      </c>
      <c r="B6" s="48" t="inlineStr">
        <is>
          <t>미국 뉴욕</t>
        </is>
      </c>
      <c r="C6" s="48" t="inlineStr">
        <is>
          <t>2003</t>
        </is>
      </c>
      <c r="D6" s="49" t="n">
        <v>30</v>
      </c>
      <c r="E6" s="50" t="n">
        <v>32</v>
      </c>
      <c r="F6" s="50" t="n">
        <v>4</v>
      </c>
      <c r="G6" s="50" t="n">
        <v>1800</v>
      </c>
      <c r="H6" s="50" t="n">
        <v>18500</v>
      </c>
      <c r="I6" s="48" t="inlineStr">
        <is>
          <t>2007</t>
        </is>
      </c>
      <c r="J6" s="49" t="n">
        <v>85</v>
      </c>
      <c r="K6" s="49" t="n">
        <v>55</v>
      </c>
      <c r="L6" s="49" t="n"/>
      <c r="M6" s="49" t="n"/>
      <c r="N6" s="48" t="inlineStr">
        <is>
          <t>매각완료</t>
        </is>
      </c>
    </row>
    <row r="7" ht="18" customHeight="1">
      <c r="A7" s="45" t="inlineStr">
        <is>
          <t>시카고 루프 오피스</t>
        </is>
      </c>
      <c r="B7" s="45" t="inlineStr">
        <is>
          <t>미국 시카고</t>
        </is>
      </c>
      <c r="C7" s="45" t="inlineStr">
        <is>
          <t>2003</t>
        </is>
      </c>
      <c r="D7" s="46" t="n">
        <v>20</v>
      </c>
      <c r="E7" s="47" t="n">
        <v>24</v>
      </c>
      <c r="F7" s="47" t="n">
        <v>3</v>
      </c>
      <c r="G7" s="47" t="n">
        <v>1400</v>
      </c>
      <c r="H7" s="47" t="n">
        <v>12000</v>
      </c>
      <c r="I7" s="45" t="inlineStr">
        <is>
          <t>2007</t>
        </is>
      </c>
      <c r="J7" s="46" t="n">
        <v>55</v>
      </c>
      <c r="K7" s="46" t="n">
        <v>35</v>
      </c>
      <c r="L7" s="46" t="n"/>
      <c r="M7" s="46" t="n"/>
      <c r="N7" s="45" t="inlineStr">
        <is>
          <t>매각완료</t>
        </is>
      </c>
    </row>
    <row r="8" ht="18" customHeight="1">
      <c r="A8" s="48" t="inlineStr">
        <is>
          <t>LA 다운타운 오피스</t>
        </is>
      </c>
      <c r="B8" s="48" t="inlineStr">
        <is>
          <t>미국 LA</t>
        </is>
      </c>
      <c r="C8" s="48" t="inlineStr">
        <is>
          <t>2003</t>
        </is>
      </c>
      <c r="D8" s="49" t="n">
        <v>18</v>
      </c>
      <c r="E8" s="50" t="n">
        <v>20</v>
      </c>
      <c r="F8" s="50" t="n">
        <v>2</v>
      </c>
      <c r="G8" s="50" t="n">
        <v>1300</v>
      </c>
      <c r="H8" s="50" t="n">
        <v>10500</v>
      </c>
      <c r="I8" s="48" t="inlineStr">
        <is>
          <t>2007</t>
        </is>
      </c>
      <c r="J8" s="49" t="n">
        <v>48</v>
      </c>
      <c r="K8" s="49" t="n">
        <v>30</v>
      </c>
      <c r="L8" s="49" t="n"/>
      <c r="M8" s="49" t="n"/>
      <c r="N8" s="48" t="inlineStr">
        <is>
          <t>매각완료</t>
        </is>
      </c>
    </row>
    <row r="9" ht="18" customHeight="1">
      <c r="A9" s="45" t="inlineStr">
        <is>
          <t>재진입 뉴욕 오피스</t>
        </is>
      </c>
      <c r="B9" s="45" t="inlineStr">
        <is>
          <t>미국 뉴욕</t>
        </is>
      </c>
      <c r="C9" s="45" t="inlineStr">
        <is>
          <t>2009</t>
        </is>
      </c>
      <c r="D9" s="46" t="n">
        <v>40</v>
      </c>
      <c r="E9" s="47" t="n">
        <v>28</v>
      </c>
      <c r="F9" s="47" t="n">
        <v>4</v>
      </c>
      <c r="G9" s="47" t="n">
        <v>1600</v>
      </c>
      <c r="H9" s="47" t="n">
        <v>16000</v>
      </c>
      <c r="I9" s="45" t="inlineStr">
        <is>
          <t>2019</t>
        </is>
      </c>
      <c r="J9" s="46" t="n">
        <v>180</v>
      </c>
      <c r="K9" s="46" t="n">
        <v>140</v>
      </c>
      <c r="L9" s="46" t="n"/>
      <c r="M9" s="46" t="n"/>
      <c r="N9" s="45" t="inlineStr">
        <is>
          <t>매각완료</t>
        </is>
      </c>
    </row>
    <row r="10" ht="18" customHeight="1">
      <c r="A10" s="48" t="inlineStr">
        <is>
          <t>재진입 LA 오피스</t>
        </is>
      </c>
      <c r="B10" s="48" t="inlineStr">
        <is>
          <t>미국 LA</t>
        </is>
      </c>
      <c r="C10" s="48" t="inlineStr">
        <is>
          <t>2009</t>
        </is>
      </c>
      <c r="D10" s="49" t="n">
        <v>25</v>
      </c>
      <c r="E10" s="50" t="n">
        <v>18</v>
      </c>
      <c r="F10" s="50" t="n">
        <v>2</v>
      </c>
      <c r="G10" s="50" t="n">
        <v>1200</v>
      </c>
      <c r="H10" s="50" t="n">
        <v>9500</v>
      </c>
      <c r="I10" s="48" t="inlineStr">
        <is>
          <t>2019</t>
        </is>
      </c>
      <c r="J10" s="49" t="n">
        <v>95</v>
      </c>
      <c r="K10" s="49" t="n">
        <v>70</v>
      </c>
      <c r="L10" s="49" t="n"/>
      <c r="M10" s="49" t="n"/>
      <c r="N10" s="48" t="inlineStr">
        <is>
          <t>매각완료</t>
        </is>
      </c>
    </row>
    <row r="11" ht="18" customHeight="1">
      <c r="A11" s="45" t="inlineStr">
        <is>
          <t>재진입 런던 오피스</t>
        </is>
      </c>
      <c r="B11" s="45" t="inlineStr">
        <is>
          <t>영국 런던</t>
        </is>
      </c>
      <c r="C11" s="45" t="inlineStr">
        <is>
          <t>2009</t>
        </is>
      </c>
      <c r="D11" s="46" t="n">
        <v>25</v>
      </c>
      <c r="E11" s="47" t="n">
        <v>20</v>
      </c>
      <c r="F11" s="47" t="n">
        <v>3</v>
      </c>
      <c r="G11" s="47" t="n">
        <v>1100</v>
      </c>
      <c r="H11" s="47" t="n">
        <v>8800</v>
      </c>
      <c r="I11" s="45" t="inlineStr">
        <is>
          <t>2015</t>
        </is>
      </c>
      <c r="J11" s="46" t="n">
        <v>80</v>
      </c>
      <c r="K11" s="46" t="n">
        <v>55</v>
      </c>
      <c r="L11" s="46" t="n"/>
      <c r="M11" s="46" t="n"/>
      <c r="N11" s="45" t="inlineStr">
        <is>
          <t>매각완료</t>
        </is>
      </c>
    </row>
    <row r="12" ht="18" customHeight="1">
      <c r="A12" s="48" t="inlineStr">
        <is>
          <t>재진입 취리히 오피스</t>
        </is>
      </c>
      <c r="B12" s="48" t="inlineStr">
        <is>
          <t>스위스 취리히</t>
        </is>
      </c>
      <c r="C12" s="48" t="inlineStr">
        <is>
          <t>2009</t>
        </is>
      </c>
      <c r="D12" s="49" t="n">
        <v>20</v>
      </c>
      <c r="E12" s="50" t="n">
        <v>16</v>
      </c>
      <c r="F12" s="50" t="n">
        <v>2</v>
      </c>
      <c r="G12" s="50" t="n">
        <v>900</v>
      </c>
      <c r="H12" s="50" t="n">
        <v>6000</v>
      </c>
      <c r="I12" s="48" t="inlineStr">
        <is>
          <t>2015</t>
        </is>
      </c>
      <c r="J12" s="49" t="n">
        <v>60</v>
      </c>
      <c r="K12" s="49" t="n">
        <v>40</v>
      </c>
      <c r="L12" s="49" t="n"/>
      <c r="M12" s="49" t="n"/>
      <c r="N12" s="48" t="inlineStr">
        <is>
          <t>매각완료</t>
        </is>
      </c>
    </row>
    <row r="13" ht="18" customHeight="1">
      <c r="A13" s="45" t="inlineStr">
        <is>
          <t>홍콩 센트럴 오피스</t>
        </is>
      </c>
      <c r="B13" s="45" t="inlineStr">
        <is>
          <t>홍콩</t>
        </is>
      </c>
      <c r="C13" s="45" t="inlineStr">
        <is>
          <t>2004</t>
        </is>
      </c>
      <c r="D13" s="46" t="n">
        <v>20</v>
      </c>
      <c r="E13" s="47" t="n">
        <v>30</v>
      </c>
      <c r="F13" s="47" t="n">
        <v>4</v>
      </c>
      <c r="G13" s="47" t="n">
        <v>850</v>
      </c>
      <c r="H13" s="47" t="n">
        <v>12000</v>
      </c>
      <c r="I13" s="45" t="inlineStr">
        <is>
          <t>2018</t>
        </is>
      </c>
      <c r="J13" s="46" t="n">
        <v>120</v>
      </c>
      <c r="K13" s="46" t="n">
        <v>100</v>
      </c>
      <c r="L13" s="46" t="n"/>
      <c r="M13" s="46" t="n"/>
      <c r="N13" s="45" t="inlineStr">
        <is>
          <t>매각완료</t>
        </is>
      </c>
    </row>
    <row r="14" ht="18" customHeight="1">
      <c r="A14" s="48" t="inlineStr">
        <is>
          <t>싱가포르 CBD 오피스</t>
        </is>
      </c>
      <c r="B14" s="48" t="inlineStr">
        <is>
          <t>싱가포르</t>
        </is>
      </c>
      <c r="C14" s="48" t="inlineStr">
        <is>
          <t>2004</t>
        </is>
      </c>
      <c r="D14" s="49" t="n">
        <v>15</v>
      </c>
      <c r="E14" s="50" t="n">
        <v>24</v>
      </c>
      <c r="F14" s="50" t="n">
        <v>3</v>
      </c>
      <c r="G14" s="50" t="n">
        <v>780</v>
      </c>
      <c r="H14" s="50" t="n">
        <v>9500</v>
      </c>
      <c r="I14" s="48" t="inlineStr">
        <is>
          <t>2018</t>
        </is>
      </c>
      <c r="J14" s="49" t="n">
        <v>85</v>
      </c>
      <c r="K14" s="49" t="n">
        <v>70</v>
      </c>
      <c r="L14" s="49" t="n"/>
      <c r="M14" s="49" t="n"/>
      <c r="N14" s="48" t="inlineStr">
        <is>
          <t>매각완료</t>
        </is>
      </c>
    </row>
    <row r="15" ht="18" customHeight="1">
      <c r="A15" s="45" t="inlineStr">
        <is>
          <t>도쿄 미나토구 오피스</t>
        </is>
      </c>
      <c r="B15" s="45" t="inlineStr">
        <is>
          <t>일본 도쿄</t>
        </is>
      </c>
      <c r="C15" s="45" t="inlineStr">
        <is>
          <t>2005</t>
        </is>
      </c>
      <c r="D15" s="46" t="n">
        <v>18</v>
      </c>
      <c r="E15" s="47" t="n">
        <v>26</v>
      </c>
      <c r="F15" s="47" t="n">
        <v>4</v>
      </c>
      <c r="G15" s="47" t="n">
        <v>920</v>
      </c>
      <c r="H15" s="47" t="n">
        <v>11000</v>
      </c>
      <c r="I15" s="45" t="inlineStr">
        <is>
          <t>2020</t>
        </is>
      </c>
      <c r="J15" s="46" t="n">
        <v>90</v>
      </c>
      <c r="K15" s="46" t="n">
        <v>72</v>
      </c>
      <c r="L15" s="46" t="n"/>
      <c r="M15" s="46" t="n"/>
      <c r="N15" s="45" t="inlineStr">
        <is>
          <t>매각완료</t>
        </is>
      </c>
    </row>
    <row r="16" ht="18" customHeight="1">
      <c r="A16" s="48" t="inlineStr">
        <is>
          <t>마이애미 상업용</t>
        </is>
      </c>
      <c r="B16" s="48" t="inlineStr">
        <is>
          <t>미국 마이애미</t>
        </is>
      </c>
      <c r="C16" s="48" t="inlineStr">
        <is>
          <t>2012</t>
        </is>
      </c>
      <c r="D16" s="49" t="n">
        <v>35</v>
      </c>
      <c r="E16" s="50" t="n">
        <v>12</v>
      </c>
      <c r="F16" s="50" t="n">
        <v>2</v>
      </c>
      <c r="G16" s="50" t="n">
        <v>2200</v>
      </c>
      <c r="H16" s="50" t="n">
        <v>7500</v>
      </c>
      <c r="I16" s="48" t="inlineStr">
        <is>
          <t>2022</t>
        </is>
      </c>
      <c r="J16" s="49" t="n">
        <v>160</v>
      </c>
      <c r="K16" s="49" t="n">
        <v>125</v>
      </c>
      <c r="L16" s="49" t="n"/>
      <c r="M16" s="49" t="n"/>
      <c r="N16" s="48" t="inlineStr">
        <is>
          <t>매각완료</t>
        </is>
      </c>
    </row>
    <row r="17" ht="18" customHeight="1">
      <c r="A17" s="51" t="inlineStr">
        <is>
          <t>뉴욕 맨해튼 펜트하우스</t>
        </is>
      </c>
      <c r="B17" s="51" t="inlineStr">
        <is>
          <t>미국 뉴욕</t>
        </is>
      </c>
      <c r="C17" s="51" t="inlineStr">
        <is>
          <t>2015</t>
        </is>
      </c>
      <c r="D17" s="52" t="n">
        <v>50</v>
      </c>
      <c r="E17" s="53" t="n">
        <v>65</v>
      </c>
      <c r="F17" s="53" t="n">
        <v>5</v>
      </c>
      <c r="G17" s="53" t="n">
        <v>420</v>
      </c>
      <c r="H17" s="53" t="n">
        <v>3200</v>
      </c>
      <c r="I17" s="51" t="inlineStr">
        <is>
          <t>-</t>
        </is>
      </c>
      <c r="J17" s="52" t="n"/>
      <c r="K17" s="52" t="n"/>
      <c r="L17" s="52" t="n">
        <v>120</v>
      </c>
      <c r="M17" s="52" t="n">
        <v>1.2</v>
      </c>
      <c r="N17" s="51" t="inlineStr">
        <is>
          <t>보유중</t>
        </is>
      </c>
    </row>
    <row r="18" ht="18" customHeight="1">
      <c r="A18" s="51" t="inlineStr">
        <is>
          <t>런던 메이페어 빌딩</t>
        </is>
      </c>
      <c r="B18" s="51" t="inlineStr">
        <is>
          <t>영국 런던</t>
        </is>
      </c>
      <c r="C18" s="51" t="inlineStr">
        <is>
          <t>2016</t>
        </is>
      </c>
      <c r="D18" s="52" t="n">
        <v>60</v>
      </c>
      <c r="E18" s="53" t="n">
        <v>8</v>
      </c>
      <c r="F18" s="53" t="n">
        <v>2</v>
      </c>
      <c r="G18" s="53" t="n">
        <v>1800</v>
      </c>
      <c r="H18" s="53" t="n">
        <v>5500</v>
      </c>
      <c r="I18" s="51" t="inlineStr">
        <is>
          <t>-</t>
        </is>
      </c>
      <c r="J18" s="52" t="n"/>
      <c r="K18" s="52" t="n"/>
      <c r="L18" s="52" t="n">
        <v>140</v>
      </c>
      <c r="M18" s="52" t="n">
        <v>2.8</v>
      </c>
      <c r="N18" s="51" t="inlineStr">
        <is>
          <t>보유중</t>
        </is>
      </c>
    </row>
    <row r="19" ht="18" customHeight="1">
      <c r="A19" s="51" t="inlineStr">
        <is>
          <t>싱가포르 센토사 복합빌딩</t>
        </is>
      </c>
      <c r="B19" s="51" t="inlineStr">
        <is>
          <t>싱가포르</t>
        </is>
      </c>
      <c r="C19" s="51" t="inlineStr">
        <is>
          <t>2017</t>
        </is>
      </c>
      <c r="D19" s="52" t="n">
        <v>45</v>
      </c>
      <c r="E19" s="53" t="n">
        <v>15</v>
      </c>
      <c r="F19" s="53" t="n">
        <v>3</v>
      </c>
      <c r="G19" s="53" t="n">
        <v>3500</v>
      </c>
      <c r="H19" s="53" t="n">
        <v>12000</v>
      </c>
      <c r="I19" s="51" t="inlineStr">
        <is>
          <t>-</t>
        </is>
      </c>
      <c r="J19" s="52" t="n"/>
      <c r="K19" s="52" t="n"/>
      <c r="L19" s="52" t="n">
        <v>95</v>
      </c>
      <c r="M19" s="52" t="n">
        <v>3.5</v>
      </c>
      <c r="N19" s="51" t="inlineStr">
        <is>
          <t>보유중</t>
        </is>
      </c>
    </row>
    <row r="20" ht="18" customHeight="1">
      <c r="A20" s="51" t="inlineStr">
        <is>
          <t>서울 강남 빌딩</t>
        </is>
      </c>
      <c r="B20" s="51" t="inlineStr">
        <is>
          <t>한국 서울</t>
        </is>
      </c>
      <c r="C20" s="51" t="inlineStr">
        <is>
          <t>2010</t>
        </is>
      </c>
      <c r="D20" s="52" t="n">
        <v>30</v>
      </c>
      <c r="E20" s="53" t="n">
        <v>12</v>
      </c>
      <c r="F20" s="53" t="n">
        <v>3</v>
      </c>
      <c r="G20" s="53" t="n">
        <v>1100</v>
      </c>
      <c r="H20" s="53" t="n">
        <v>6800</v>
      </c>
      <c r="I20" s="51" t="inlineStr">
        <is>
          <t>-</t>
        </is>
      </c>
      <c r="J20" s="52" t="n"/>
      <c r="K20" s="52" t="n"/>
      <c r="L20" s="52" t="n">
        <v>180</v>
      </c>
      <c r="M20" s="52" t="n">
        <v>4.2</v>
      </c>
      <c r="N20" s="51" t="inlineStr">
        <is>
          <t>보유중</t>
        </is>
      </c>
    </row>
    <row r="21" ht="18" customHeight="1">
      <c r="A21" s="51" t="inlineStr">
        <is>
          <t>도쿄 롯폰기 오피스</t>
        </is>
      </c>
      <c r="B21" s="51" t="inlineStr">
        <is>
          <t>일본 도쿄</t>
        </is>
      </c>
      <c r="C21" s="51" t="inlineStr">
        <is>
          <t>2018</t>
        </is>
      </c>
      <c r="D21" s="52" t="n">
        <v>40</v>
      </c>
      <c r="E21" s="53" t="n">
        <v>18</v>
      </c>
      <c r="F21" s="53" t="n">
        <v>4</v>
      </c>
      <c r="G21" s="53" t="n">
        <v>980</v>
      </c>
      <c r="H21" s="53" t="n">
        <v>9200</v>
      </c>
      <c r="I21" s="51" t="inlineStr">
        <is>
          <t>-</t>
        </is>
      </c>
      <c r="J21" s="52" t="n"/>
      <c r="K21" s="52" t="n"/>
      <c r="L21" s="52" t="n">
        <v>85</v>
      </c>
      <c r="M21" s="52" t="n">
        <v>2.1</v>
      </c>
      <c r="N21" s="51" t="inlineStr">
        <is>
          <t>보유중</t>
        </is>
      </c>
    </row>
    <row r="22">
      <c r="A22" s="54" t="inlineStr">
        <is>
          <t>건물 누적 매각 수익 합계</t>
        </is>
      </c>
      <c r="K22" s="55">
        <f>SUM(K3:K21)</f>
        <v/>
      </c>
    </row>
    <row r="23">
      <c r="A23" s="54" t="inlineStr">
        <is>
          <t>현재 보유 건물 추정가 합계</t>
        </is>
      </c>
      <c r="L23" s="55">
        <f>SUMIF(N3:N21,"보유중",L3:L21)</f>
        <v/>
      </c>
    </row>
    <row r="24">
      <c r="A24" s="54" t="inlineStr">
        <is>
          <t>현재 보유 건물 연 임대수익 합계</t>
        </is>
      </c>
      <c r="M24" s="55">
        <f>SUMIF(N3:N21,"보유중",M3:M21)</f>
        <v/>
      </c>
    </row>
    <row r="27" ht="35" customHeight="1">
      <c r="A27" s="56" t="inlineStr">
        <is>
          <t>K — 토지 보유 현황</t>
        </is>
      </c>
    </row>
    <row r="28" ht="30" customHeight="1">
      <c r="A28" s="57" t="inlineStr">
        <is>
          <t>물건명</t>
        </is>
      </c>
      <c r="B28" s="57" t="inlineStr">
        <is>
          <t>위치</t>
        </is>
      </c>
      <c r="C28" s="57" t="inlineStr">
        <is>
          <t>용도</t>
        </is>
      </c>
      <c r="D28" s="57" t="inlineStr">
        <is>
          <t>매입시기</t>
        </is>
      </c>
      <c r="E28" s="57" t="inlineStr">
        <is>
          <t>매입가
($M)</t>
        </is>
      </c>
      <c r="F28" s="57" t="inlineStr">
        <is>
          <t>면적
(㎡)</t>
        </is>
      </c>
      <c r="G28" s="57" t="inlineStr">
        <is>
          <t>지목</t>
        </is>
      </c>
      <c r="H28" s="57" t="inlineStr">
        <is>
          <t>매도시기</t>
        </is>
      </c>
      <c r="I28" s="57" t="inlineStr">
        <is>
          <t>매도가
($M)</t>
        </is>
      </c>
      <c r="J28" s="57" t="inlineStr">
        <is>
          <t>수익
($M)</t>
        </is>
      </c>
      <c r="K28" s="57" t="inlineStr">
        <is>
          <t>현재추정가
($M)</t>
        </is>
      </c>
      <c r="L28" s="57" t="inlineStr">
        <is>
          <t>현재상태</t>
        </is>
      </c>
    </row>
    <row r="29" ht="18" customHeight="1">
      <c r="A29" s="58" t="inlineStr">
        <is>
          <t>뉴욕 브루클린 개발부지</t>
        </is>
      </c>
      <c r="B29" s="58" t="inlineStr">
        <is>
          <t>미국 뉴욕 브루클린</t>
        </is>
      </c>
      <c r="C29" s="58" t="inlineStr">
        <is>
          <t>개발용</t>
        </is>
      </c>
      <c r="D29" s="58" t="inlineStr">
        <is>
          <t>2008</t>
        </is>
      </c>
      <c r="E29" s="59" t="n">
        <v>35</v>
      </c>
      <c r="F29" s="60" t="n">
        <v>28000</v>
      </c>
      <c r="G29" s="58" t="inlineStr">
        <is>
          <t>대지</t>
        </is>
      </c>
      <c r="H29" s="58" t="inlineStr">
        <is>
          <t>-</t>
        </is>
      </c>
      <c r="I29" s="59" t="n"/>
      <c r="J29" s="59" t="n"/>
      <c r="K29" s="59" t="n">
        <v>95</v>
      </c>
      <c r="L29" s="58" t="inlineStr">
        <is>
          <t>보유중</t>
        </is>
      </c>
    </row>
    <row r="30" ht="18" customHeight="1">
      <c r="A30" s="58" t="inlineStr">
        <is>
          <t>런던 이스트엔드 개발부지</t>
        </is>
      </c>
      <c r="B30" s="58" t="inlineStr">
        <is>
          <t>영국 런던 이스트엔드</t>
        </is>
      </c>
      <c r="C30" s="58" t="inlineStr">
        <is>
          <t>개발용</t>
        </is>
      </c>
      <c r="D30" s="58" t="inlineStr">
        <is>
          <t>2010</t>
        </is>
      </c>
      <c r="E30" s="59" t="n">
        <v>28</v>
      </c>
      <c r="F30" s="60" t="n">
        <v>18500</v>
      </c>
      <c r="G30" s="58" t="inlineStr">
        <is>
          <t>대지</t>
        </is>
      </c>
      <c r="H30" s="58" t="inlineStr">
        <is>
          <t>-</t>
        </is>
      </c>
      <c r="I30" s="59" t="n"/>
      <c r="J30" s="59" t="n"/>
      <c r="K30" s="59" t="n">
        <v>110</v>
      </c>
      <c r="L30" s="58" t="inlineStr">
        <is>
          <t>보유중</t>
        </is>
      </c>
    </row>
    <row r="31" ht="18" customHeight="1">
      <c r="A31" s="58" t="inlineStr">
        <is>
          <t>싱가포르 주롱 개발부지</t>
        </is>
      </c>
      <c r="B31" s="58" t="inlineStr">
        <is>
          <t>싱가포르 주롱</t>
        </is>
      </c>
      <c r="C31" s="58" t="inlineStr">
        <is>
          <t>개발용</t>
        </is>
      </c>
      <c r="D31" s="58" t="inlineStr">
        <is>
          <t>2011</t>
        </is>
      </c>
      <c r="E31" s="59" t="n">
        <v>22</v>
      </c>
      <c r="F31" s="60" t="n">
        <v>32000</v>
      </c>
      <c r="G31" s="58" t="inlineStr">
        <is>
          <t>대지</t>
        </is>
      </c>
      <c r="H31" s="58" t="inlineStr">
        <is>
          <t>-</t>
        </is>
      </c>
      <c r="I31" s="59" t="n"/>
      <c r="J31" s="59" t="n"/>
      <c r="K31" s="59" t="n">
        <v>85</v>
      </c>
      <c r="L31" s="58" t="inlineStr">
        <is>
          <t>보유중</t>
        </is>
      </c>
    </row>
    <row r="32" ht="18" customHeight="1">
      <c r="A32" s="58" t="inlineStr">
        <is>
          <t>서울 마곡 개발부지</t>
        </is>
      </c>
      <c r="B32" s="58" t="inlineStr">
        <is>
          <t>한국 서울 마곡</t>
        </is>
      </c>
      <c r="C32" s="58" t="inlineStr">
        <is>
          <t>개발용</t>
        </is>
      </c>
      <c r="D32" s="58" t="inlineStr">
        <is>
          <t>2009</t>
        </is>
      </c>
      <c r="E32" s="59" t="n">
        <v>15</v>
      </c>
      <c r="F32" s="60" t="n">
        <v>12000</v>
      </c>
      <c r="G32" s="58" t="inlineStr">
        <is>
          <t>대지</t>
        </is>
      </c>
      <c r="H32" s="58" t="inlineStr">
        <is>
          <t>-</t>
        </is>
      </c>
      <c r="I32" s="59" t="n"/>
      <c r="J32" s="59" t="n"/>
      <c r="K32" s="59" t="n">
        <v>180</v>
      </c>
      <c r="L32" s="58" t="inlineStr">
        <is>
          <t>보유중</t>
        </is>
      </c>
    </row>
    <row r="33" ht="18" customHeight="1">
      <c r="A33" s="58" t="inlineStr">
        <is>
          <t>도쿄 시나가와 개발부지</t>
        </is>
      </c>
      <c r="B33" s="58" t="inlineStr">
        <is>
          <t>일본 도쿄 시나가와</t>
        </is>
      </c>
      <c r="C33" s="58" t="inlineStr">
        <is>
          <t>개발용</t>
        </is>
      </c>
      <c r="D33" s="58" t="inlineStr">
        <is>
          <t>2012</t>
        </is>
      </c>
      <c r="E33" s="59" t="n">
        <v>30</v>
      </c>
      <c r="F33" s="60" t="n">
        <v>8500</v>
      </c>
      <c r="G33" s="58" t="inlineStr">
        <is>
          <t>대지</t>
        </is>
      </c>
      <c r="H33" s="58" t="inlineStr">
        <is>
          <t>-</t>
        </is>
      </c>
      <c r="I33" s="59" t="n"/>
      <c r="J33" s="59" t="n"/>
      <c r="K33" s="59" t="n">
        <v>120</v>
      </c>
      <c r="L33" s="58" t="inlineStr">
        <is>
          <t>보유중</t>
        </is>
      </c>
    </row>
    <row r="34" ht="18" customHeight="1">
      <c r="A34" s="58" t="inlineStr">
        <is>
          <t>두바이 다운타운 개발부지</t>
        </is>
      </c>
      <c r="B34" s="58" t="inlineStr">
        <is>
          <t>UAE 두바이</t>
        </is>
      </c>
      <c r="C34" s="58" t="inlineStr">
        <is>
          <t>개발용</t>
        </is>
      </c>
      <c r="D34" s="58" t="inlineStr">
        <is>
          <t>2014</t>
        </is>
      </c>
      <c r="E34" s="59" t="n">
        <v>45</v>
      </c>
      <c r="F34" s="60" t="n">
        <v>55000</v>
      </c>
      <c r="G34" s="58" t="inlineStr">
        <is>
          <t>대지</t>
        </is>
      </c>
      <c r="H34" s="58" t="inlineStr">
        <is>
          <t>-</t>
        </is>
      </c>
      <c r="I34" s="59" t="n"/>
      <c r="J34" s="59" t="n"/>
      <c r="K34" s="59" t="n">
        <v>160</v>
      </c>
      <c r="L34" s="58" t="inlineStr">
        <is>
          <t>보유중</t>
        </is>
      </c>
    </row>
    <row r="35" ht="18" customHeight="1">
      <c r="A35" s="58" t="inlineStr">
        <is>
          <t>베트남 하노이 개발부지</t>
        </is>
      </c>
      <c r="B35" s="58" t="inlineStr">
        <is>
          <t>베트남 하노이</t>
        </is>
      </c>
      <c r="C35" s="58" t="inlineStr">
        <is>
          <t>개발용</t>
        </is>
      </c>
      <c r="D35" s="58" t="inlineStr">
        <is>
          <t>2015</t>
        </is>
      </c>
      <c r="E35" s="59" t="n">
        <v>18</v>
      </c>
      <c r="F35" s="60" t="n">
        <v>85000</v>
      </c>
      <c r="G35" s="58" t="inlineStr">
        <is>
          <t>전</t>
        </is>
      </c>
      <c r="H35" s="58" t="inlineStr">
        <is>
          <t>-</t>
        </is>
      </c>
      <c r="I35" s="59" t="n"/>
      <c r="J35" s="59" t="n"/>
      <c r="K35" s="59" t="n">
        <v>95</v>
      </c>
      <c r="L35" s="58" t="inlineStr">
        <is>
          <t>보유중</t>
        </is>
      </c>
    </row>
    <row r="36" ht="18" customHeight="1">
      <c r="A36" s="58" t="inlineStr">
        <is>
          <t>인도네시아 자카르타 부지</t>
        </is>
      </c>
      <c r="B36" s="58" t="inlineStr">
        <is>
          <t>인도네시아 자카르타</t>
        </is>
      </c>
      <c r="C36" s="58" t="inlineStr">
        <is>
          <t>개발용</t>
        </is>
      </c>
      <c r="D36" s="58" t="inlineStr">
        <is>
          <t>2016</t>
        </is>
      </c>
      <c r="E36" s="59" t="n">
        <v>20</v>
      </c>
      <c r="F36" s="60" t="n">
        <v>120000</v>
      </c>
      <c r="G36" s="58" t="inlineStr">
        <is>
          <t>대지</t>
        </is>
      </c>
      <c r="H36" s="58" t="inlineStr">
        <is>
          <t>-</t>
        </is>
      </c>
      <c r="I36" s="59" t="n"/>
      <c r="J36" s="59" t="n"/>
      <c r="K36" s="59" t="n">
        <v>88</v>
      </c>
      <c r="L36" s="58" t="inlineStr">
        <is>
          <t>보유중</t>
        </is>
      </c>
    </row>
    <row r="37" ht="18" customHeight="1">
      <c r="A37" s="61" t="inlineStr">
        <is>
          <t>맨해튼 미드타운 나대지</t>
        </is>
      </c>
      <c r="B37" s="61" t="inlineStr">
        <is>
          <t>미국 뉴욕 맨해튼</t>
        </is>
      </c>
      <c r="C37" s="61" t="inlineStr">
        <is>
          <t>나대지</t>
        </is>
      </c>
      <c r="D37" s="61" t="inlineStr">
        <is>
          <t>2003</t>
        </is>
      </c>
      <c r="E37" s="62" t="n">
        <v>25</v>
      </c>
      <c r="F37" s="63" t="n">
        <v>3200</v>
      </c>
      <c r="G37" s="61" t="inlineStr">
        <is>
          <t>대지</t>
        </is>
      </c>
      <c r="H37" s="61" t="inlineStr">
        <is>
          <t>2011</t>
        </is>
      </c>
      <c r="I37" s="62" t="n">
        <v>95</v>
      </c>
      <c r="J37" s="62" t="n">
        <v>70</v>
      </c>
      <c r="K37" s="62" t="n"/>
      <c r="L37" s="61" t="inlineStr">
        <is>
          <t>매각완료</t>
        </is>
      </c>
    </row>
    <row r="38" ht="18" customHeight="1">
      <c r="A38" s="48" t="inlineStr">
        <is>
          <t>시드니 CBD 나대지</t>
        </is>
      </c>
      <c r="B38" s="48" t="inlineStr">
        <is>
          <t>호주 시드니</t>
        </is>
      </c>
      <c r="C38" s="48" t="inlineStr">
        <is>
          <t>나대지</t>
        </is>
      </c>
      <c r="D38" s="48" t="inlineStr">
        <is>
          <t>2007</t>
        </is>
      </c>
      <c r="E38" s="49" t="n">
        <v>18</v>
      </c>
      <c r="F38" s="64" t="n">
        <v>4500</v>
      </c>
      <c r="G38" s="48" t="inlineStr">
        <is>
          <t>대지</t>
        </is>
      </c>
      <c r="H38" s="48" t="inlineStr">
        <is>
          <t>2015</t>
        </is>
      </c>
      <c r="I38" s="49" t="n">
        <v>72</v>
      </c>
      <c r="J38" s="49" t="n">
        <v>54</v>
      </c>
      <c r="K38" s="49" t="n"/>
      <c r="L38" s="48" t="inlineStr">
        <is>
          <t>매각완료</t>
        </is>
      </c>
    </row>
    <row r="39" ht="18" customHeight="1">
      <c r="A39" s="61" t="inlineStr">
        <is>
          <t>파리 8구 나대지</t>
        </is>
      </c>
      <c r="B39" s="61" t="inlineStr">
        <is>
          <t>프랑스 파리 8구</t>
        </is>
      </c>
      <c r="C39" s="61" t="inlineStr">
        <is>
          <t>나대지</t>
        </is>
      </c>
      <c r="D39" s="61" t="inlineStr">
        <is>
          <t>2005</t>
        </is>
      </c>
      <c r="E39" s="62" t="n">
        <v>22</v>
      </c>
      <c r="F39" s="63" t="n">
        <v>2800</v>
      </c>
      <c r="G39" s="61" t="inlineStr">
        <is>
          <t>대지</t>
        </is>
      </c>
      <c r="H39" s="61" t="inlineStr">
        <is>
          <t>2013</t>
        </is>
      </c>
      <c r="I39" s="62" t="n">
        <v>88</v>
      </c>
      <c r="J39" s="62" t="n">
        <v>66</v>
      </c>
      <c r="K39" s="62" t="n"/>
      <c r="L39" s="61" t="inlineStr">
        <is>
          <t>매각완료</t>
        </is>
      </c>
    </row>
    <row r="40" ht="18" customHeight="1">
      <c r="A40" s="48" t="inlineStr">
        <is>
          <t>홍콩 카오룽 나대지</t>
        </is>
      </c>
      <c r="B40" s="48" t="inlineStr">
        <is>
          <t>홍콩 카오룽</t>
        </is>
      </c>
      <c r="C40" s="48" t="inlineStr">
        <is>
          <t>나대지</t>
        </is>
      </c>
      <c r="D40" s="48" t="inlineStr">
        <is>
          <t>2008</t>
        </is>
      </c>
      <c r="E40" s="49" t="n">
        <v>30</v>
      </c>
      <c r="F40" s="64" t="n">
        <v>5500</v>
      </c>
      <c r="G40" s="48" t="inlineStr">
        <is>
          <t>대지</t>
        </is>
      </c>
      <c r="H40" s="48" t="inlineStr">
        <is>
          <t>2017</t>
        </is>
      </c>
      <c r="I40" s="49" t="n">
        <v>145</v>
      </c>
      <c r="J40" s="49" t="n">
        <v>115</v>
      </c>
      <c r="K40" s="49" t="n"/>
      <c r="L40" s="48" t="inlineStr">
        <is>
          <t>매각완료</t>
        </is>
      </c>
    </row>
    <row r="41" ht="18" customHeight="1">
      <c r="A41" s="58" t="inlineStr">
        <is>
          <t>서울 강남 나대지</t>
        </is>
      </c>
      <c r="B41" s="58" t="inlineStr">
        <is>
          <t>한국 서울 강남</t>
        </is>
      </c>
      <c r="C41" s="58" t="inlineStr">
        <is>
          <t>나대지</t>
        </is>
      </c>
      <c r="D41" s="58" t="inlineStr">
        <is>
          <t>2006</t>
        </is>
      </c>
      <c r="E41" s="59" t="n">
        <v>12</v>
      </c>
      <c r="F41" s="60" t="n">
        <v>2200</v>
      </c>
      <c r="G41" s="58" t="inlineStr">
        <is>
          <t>대지</t>
        </is>
      </c>
      <c r="H41" s="58" t="inlineStr">
        <is>
          <t>-</t>
        </is>
      </c>
      <c r="I41" s="59" t="n"/>
      <c r="J41" s="59" t="n"/>
      <c r="K41" s="59" t="n">
        <v>220</v>
      </c>
      <c r="L41" s="58" t="inlineStr">
        <is>
          <t>보유중</t>
        </is>
      </c>
    </row>
    <row r="42" ht="18" customHeight="1">
      <c r="A42" s="58" t="inlineStr">
        <is>
          <t>부산 해운대 나대지</t>
        </is>
      </c>
      <c r="B42" s="58" t="inlineStr">
        <is>
          <t>한국 부산 해운대</t>
        </is>
      </c>
      <c r="C42" s="58" t="inlineStr">
        <is>
          <t>나대지</t>
        </is>
      </c>
      <c r="D42" s="58" t="inlineStr">
        <is>
          <t>2010</t>
        </is>
      </c>
      <c r="E42" s="59" t="n">
        <v>8</v>
      </c>
      <c r="F42" s="60" t="n">
        <v>8500</v>
      </c>
      <c r="G42" s="58" t="inlineStr">
        <is>
          <t>대지</t>
        </is>
      </c>
      <c r="H42" s="58" t="inlineStr">
        <is>
          <t>-</t>
        </is>
      </c>
      <c r="I42" s="59" t="n"/>
      <c r="J42" s="59" t="n"/>
      <c r="K42" s="59" t="n">
        <v>65</v>
      </c>
      <c r="L42" s="58" t="inlineStr">
        <is>
          <t>보유중</t>
        </is>
      </c>
    </row>
    <row r="43" ht="18" customHeight="1">
      <c r="A43" s="58" t="inlineStr">
        <is>
          <t>도쿄 미나토 나대지</t>
        </is>
      </c>
      <c r="B43" s="58" t="inlineStr">
        <is>
          <t>일본 도쿄 미나토</t>
        </is>
      </c>
      <c r="C43" s="58" t="inlineStr">
        <is>
          <t>나대지</t>
        </is>
      </c>
      <c r="D43" s="58" t="inlineStr">
        <is>
          <t>2013</t>
        </is>
      </c>
      <c r="E43" s="59" t="n">
        <v>20</v>
      </c>
      <c r="F43" s="60" t="n">
        <v>3800</v>
      </c>
      <c r="G43" s="58" t="inlineStr">
        <is>
          <t>대지</t>
        </is>
      </c>
      <c r="H43" s="58" t="inlineStr">
        <is>
          <t>-</t>
        </is>
      </c>
      <c r="I43" s="59" t="n"/>
      <c r="J43" s="59" t="n"/>
      <c r="K43" s="59" t="n">
        <v>95</v>
      </c>
      <c r="L43" s="58" t="inlineStr">
        <is>
          <t>보유중</t>
        </is>
      </c>
    </row>
    <row r="44" ht="18" customHeight="1">
      <c r="A44" s="58" t="inlineStr">
        <is>
          <t>상하이 푸동 나대지</t>
        </is>
      </c>
      <c r="B44" s="58" t="inlineStr">
        <is>
          <t>중국 상하이 푸동</t>
        </is>
      </c>
      <c r="C44" s="58" t="inlineStr">
        <is>
          <t>나대지</t>
        </is>
      </c>
      <c r="D44" s="58" t="inlineStr">
        <is>
          <t>2011</t>
        </is>
      </c>
      <c r="E44" s="59" t="n">
        <v>25</v>
      </c>
      <c r="F44" s="60" t="n">
        <v>15000</v>
      </c>
      <c r="G44" s="58" t="inlineStr">
        <is>
          <t>대지</t>
        </is>
      </c>
      <c r="H44" s="58" t="inlineStr">
        <is>
          <t>-</t>
        </is>
      </c>
      <c r="I44" s="59" t="n"/>
      <c r="J44" s="59" t="n"/>
      <c r="K44" s="59" t="n">
        <v>110</v>
      </c>
      <c r="L44" s="58" t="inlineStr">
        <is>
          <t>보유중</t>
        </is>
      </c>
    </row>
    <row r="45">
      <c r="A45" s="54" t="inlineStr">
        <is>
          <t>토지 누적 매각 수익 합계</t>
        </is>
      </c>
      <c r="J45" s="55">
        <f>SUM(J29:J44)</f>
        <v/>
      </c>
    </row>
    <row r="46">
      <c r="A46" s="54" t="inlineStr">
        <is>
          <t>현재 보유 토지 추정가 합계</t>
        </is>
      </c>
      <c r="K46" s="55">
        <f>SUMIF(L29:L44,"보유중",K29:K44)</f>
        <v/>
      </c>
    </row>
    <row r="49" ht="35" customHeight="1">
      <c r="A49" s="65" t="inlineStr">
        <is>
          <t>K — 국내 토지 보유 현황 (소형도시 규모 / 페이퍼 컴퍼니 분산 보유)</t>
        </is>
      </c>
    </row>
    <row r="50" ht="30" customHeight="1">
      <c r="A50" s="57" t="inlineStr">
        <is>
          <t>물건명</t>
        </is>
      </c>
      <c r="B50" s="57" t="inlineStr">
        <is>
          <t>위치</t>
        </is>
      </c>
      <c r="C50" s="57" t="inlineStr">
        <is>
          <t>용도</t>
        </is>
      </c>
      <c r="D50" s="57" t="inlineStr">
        <is>
          <t>매입시기</t>
        </is>
      </c>
      <c r="E50" s="57" t="inlineStr">
        <is>
          <t>매입가
($M)</t>
        </is>
      </c>
      <c r="F50" s="57" t="inlineStr">
        <is>
          <t>면적
(㎡)</t>
        </is>
      </c>
      <c r="G50" s="57" t="inlineStr">
        <is>
          <t>면적
(평)</t>
        </is>
      </c>
      <c r="H50" s="57" t="inlineStr">
        <is>
          <t>지목</t>
        </is>
      </c>
      <c r="I50" s="57" t="inlineStr">
        <is>
          <t>현재추정가
($M)</t>
        </is>
      </c>
      <c r="J50" s="57" t="inlineStr">
        <is>
          <t>평가차익
($M)</t>
        </is>
      </c>
      <c r="K50" s="57" t="inlineStr">
        <is>
          <t>보유방식</t>
        </is>
      </c>
      <c r="L50" s="57" t="inlineStr">
        <is>
          <t>현재상태</t>
        </is>
      </c>
    </row>
    <row r="51" ht="18" customHeight="1">
      <c r="A51" s="58" t="inlineStr">
        <is>
          <t>강원 홍천 산림부지</t>
        </is>
      </c>
      <c r="B51" s="58" t="inlineStr">
        <is>
          <t>강원도 홍천군</t>
        </is>
      </c>
      <c r="C51" s="58" t="inlineStr">
        <is>
          <t>개발용</t>
        </is>
      </c>
      <c r="D51" s="58" t="inlineStr">
        <is>
          <t>2003</t>
        </is>
      </c>
      <c r="E51" s="59" t="n">
        <v>8</v>
      </c>
      <c r="F51" s="60" t="n">
        <v>45000000</v>
      </c>
      <c r="G51" s="60" t="n">
        <v>13612500</v>
      </c>
      <c r="H51" s="58" t="inlineStr">
        <is>
          <t>임야</t>
        </is>
      </c>
      <c r="I51" s="59" t="n">
        <v>35</v>
      </c>
      <c r="J51" s="59" t="n">
        <v>27</v>
      </c>
      <c r="K51" s="58" t="inlineStr">
        <is>
          <t>페이퍼컴퍼니 분산</t>
        </is>
      </c>
      <c r="L51" s="58" t="inlineStr">
        <is>
          <t>보유중</t>
        </is>
      </c>
    </row>
    <row r="52" ht="18" customHeight="1">
      <c r="A52" s="66" t="inlineStr">
        <is>
          <t>경북 의성 나대지</t>
        </is>
      </c>
      <c r="B52" s="66" t="inlineStr">
        <is>
          <t>경북 의성군</t>
        </is>
      </c>
      <c r="C52" s="66" t="inlineStr">
        <is>
          <t>나대지</t>
        </is>
      </c>
      <c r="D52" s="66" t="inlineStr">
        <is>
          <t>2005</t>
        </is>
      </c>
      <c r="E52" s="67" t="n">
        <v>6</v>
      </c>
      <c r="F52" s="68" t="n">
        <v>38000000</v>
      </c>
      <c r="G52" s="68" t="n">
        <v>11495000</v>
      </c>
      <c r="H52" s="66" t="inlineStr">
        <is>
          <t>전/답</t>
        </is>
      </c>
      <c r="I52" s="67" t="n">
        <v>22</v>
      </c>
      <c r="J52" s="67" t="n">
        <v>16</v>
      </c>
      <c r="K52" s="66" t="inlineStr">
        <is>
          <t>페이퍼컴퍼니 분산</t>
        </is>
      </c>
      <c r="L52" s="66" t="inlineStr">
        <is>
          <t>보유중</t>
        </is>
      </c>
    </row>
    <row r="53" ht="18" customHeight="1">
      <c r="A53" s="58" t="inlineStr">
        <is>
          <t>충남 태안 해안부지</t>
        </is>
      </c>
      <c r="B53" s="58" t="inlineStr">
        <is>
          <t>충남 태안군</t>
        </is>
      </c>
      <c r="C53" s="58" t="inlineStr">
        <is>
          <t>개발용</t>
        </is>
      </c>
      <c r="D53" s="58" t="inlineStr">
        <is>
          <t>2004</t>
        </is>
      </c>
      <c r="E53" s="59" t="n">
        <v>12</v>
      </c>
      <c r="F53" s="60" t="n">
        <v>52000000</v>
      </c>
      <c r="G53" s="60" t="n">
        <v>15730000</v>
      </c>
      <c r="H53" s="58" t="inlineStr">
        <is>
          <t>대지</t>
        </is>
      </c>
      <c r="I53" s="59" t="n">
        <v>55</v>
      </c>
      <c r="J53" s="59" t="n">
        <v>43</v>
      </c>
      <c r="K53" s="58" t="inlineStr">
        <is>
          <t>페이퍼컴퍼니 분산</t>
        </is>
      </c>
      <c r="L53" s="58" t="inlineStr">
        <is>
          <t>보유중</t>
        </is>
      </c>
    </row>
    <row r="54" ht="18" customHeight="1">
      <c r="A54" s="66" t="inlineStr">
        <is>
          <t>전남 해남 농림부지</t>
        </is>
      </c>
      <c r="B54" s="66" t="inlineStr">
        <is>
          <t>전남 해남군</t>
        </is>
      </c>
      <c r="C54" s="66" t="inlineStr">
        <is>
          <t>개발용</t>
        </is>
      </c>
      <c r="D54" s="66" t="inlineStr">
        <is>
          <t>2006</t>
        </is>
      </c>
      <c r="E54" s="67" t="n">
        <v>10</v>
      </c>
      <c r="F54" s="68" t="n">
        <v>65000000</v>
      </c>
      <c r="G54" s="68" t="n">
        <v>19662500</v>
      </c>
      <c r="H54" s="66" t="inlineStr">
        <is>
          <t>전/답</t>
        </is>
      </c>
      <c r="I54" s="67" t="n">
        <v>42</v>
      </c>
      <c r="J54" s="67" t="n">
        <v>32</v>
      </c>
      <c r="K54" s="66" t="inlineStr">
        <is>
          <t>페이퍼컴퍼니 분산</t>
        </is>
      </c>
      <c r="L54" s="66" t="inlineStr">
        <is>
          <t>보유중</t>
        </is>
      </c>
    </row>
    <row r="55" ht="18" customHeight="1">
      <c r="A55" s="58" t="inlineStr">
        <is>
          <t>경남 고성 해안부지</t>
        </is>
      </c>
      <c r="B55" s="58" t="inlineStr">
        <is>
          <t>경남 고성군</t>
        </is>
      </c>
      <c r="C55" s="58" t="inlineStr">
        <is>
          <t>개발용</t>
        </is>
      </c>
      <c r="D55" s="58" t="inlineStr">
        <is>
          <t>2007</t>
        </is>
      </c>
      <c r="E55" s="59" t="n">
        <v>9</v>
      </c>
      <c r="F55" s="60" t="n">
        <v>48000000</v>
      </c>
      <c r="G55" s="60" t="n">
        <v>14520000</v>
      </c>
      <c r="H55" s="58" t="inlineStr">
        <is>
          <t>대지</t>
        </is>
      </c>
      <c r="I55" s="59" t="n">
        <v>38</v>
      </c>
      <c r="J55" s="59" t="n">
        <v>29</v>
      </c>
      <c r="K55" s="58" t="inlineStr">
        <is>
          <t>페이퍼컴퍼니 분산</t>
        </is>
      </c>
      <c r="L55" s="58" t="inlineStr">
        <is>
          <t>보유중</t>
        </is>
      </c>
    </row>
    <row r="56" ht="18" customHeight="1">
      <c r="A56" s="66" t="inlineStr">
        <is>
          <t>제주 서귀포 부지</t>
        </is>
      </c>
      <c r="B56" s="66" t="inlineStr">
        <is>
          <t>제주 서귀포시</t>
        </is>
      </c>
      <c r="C56" s="66" t="inlineStr">
        <is>
          <t>나대지</t>
        </is>
      </c>
      <c r="D56" s="66" t="inlineStr">
        <is>
          <t>2008</t>
        </is>
      </c>
      <c r="E56" s="67" t="n">
        <v>25</v>
      </c>
      <c r="F56" s="68" t="n">
        <v>35000000</v>
      </c>
      <c r="G56" s="68" t="n">
        <v>10587500</v>
      </c>
      <c r="H56" s="66" t="inlineStr">
        <is>
          <t>대지</t>
        </is>
      </c>
      <c r="I56" s="67" t="n">
        <v>180</v>
      </c>
      <c r="J56" s="67" t="n">
        <v>155</v>
      </c>
      <c r="K56" s="66" t="inlineStr">
        <is>
          <t>페이퍼컴퍼니 분산</t>
        </is>
      </c>
      <c r="L56" s="66" t="inlineStr">
        <is>
          <t>보유중</t>
        </is>
      </c>
    </row>
    <row r="57" ht="18" customHeight="1">
      <c r="A57" s="58" t="inlineStr">
        <is>
          <t>충북 음성 산업부지</t>
        </is>
      </c>
      <c r="B57" s="58" t="inlineStr">
        <is>
          <t>충북 음성군</t>
        </is>
      </c>
      <c r="C57" s="58" t="inlineStr">
        <is>
          <t>개발용</t>
        </is>
      </c>
      <c r="D57" s="58" t="inlineStr">
        <is>
          <t>2009</t>
        </is>
      </c>
      <c r="E57" s="59" t="n">
        <v>8</v>
      </c>
      <c r="F57" s="60" t="n">
        <v>42000000</v>
      </c>
      <c r="G57" s="60" t="n">
        <v>12705000</v>
      </c>
      <c r="H57" s="58" t="inlineStr">
        <is>
          <t>대지</t>
        </is>
      </c>
      <c r="I57" s="59" t="n">
        <v>45</v>
      </c>
      <c r="J57" s="59" t="n">
        <v>37</v>
      </c>
      <c r="K57" s="58" t="inlineStr">
        <is>
          <t>페이퍼컴퍼니 분산</t>
        </is>
      </c>
      <c r="L57" s="58" t="inlineStr">
        <is>
          <t>보유중</t>
        </is>
      </c>
    </row>
    <row r="58" ht="18" customHeight="1">
      <c r="A58" s="66" t="inlineStr">
        <is>
          <t>경기 여주 나대지</t>
        </is>
      </c>
      <c r="B58" s="66" t="inlineStr">
        <is>
          <t>경기 여주시</t>
        </is>
      </c>
      <c r="C58" s="66" t="inlineStr">
        <is>
          <t>나대지</t>
        </is>
      </c>
      <c r="D58" s="66" t="inlineStr">
        <is>
          <t>2010</t>
        </is>
      </c>
      <c r="E58" s="67" t="n">
        <v>15</v>
      </c>
      <c r="F58" s="68" t="n">
        <v>33000000</v>
      </c>
      <c r="G58" s="68" t="n">
        <v>9982500</v>
      </c>
      <c r="H58" s="66" t="inlineStr">
        <is>
          <t>대지</t>
        </is>
      </c>
      <c r="I58" s="67" t="n">
        <v>95</v>
      </c>
      <c r="J58" s="67" t="n">
        <v>80</v>
      </c>
      <c r="K58" s="66" t="inlineStr">
        <is>
          <t>페이퍼컴퍼니 분산</t>
        </is>
      </c>
      <c r="L58" s="66" t="inlineStr">
        <is>
          <t>보유중</t>
        </is>
      </c>
    </row>
    <row r="59" ht="18" customHeight="1">
      <c r="A59" s="58" t="inlineStr">
        <is>
          <t>강원 양양 해안부지</t>
        </is>
      </c>
      <c r="B59" s="58" t="inlineStr">
        <is>
          <t>강원 양양군</t>
        </is>
      </c>
      <c r="C59" s="58" t="inlineStr">
        <is>
          <t>개발용</t>
        </is>
      </c>
      <c r="D59" s="58" t="inlineStr">
        <is>
          <t>2011</t>
        </is>
      </c>
      <c r="E59" s="59" t="n">
        <v>14</v>
      </c>
      <c r="F59" s="60" t="n">
        <v>40000000</v>
      </c>
      <c r="G59" s="60" t="n">
        <v>12100000</v>
      </c>
      <c r="H59" s="58" t="inlineStr">
        <is>
          <t>대지</t>
        </is>
      </c>
      <c r="I59" s="59" t="n">
        <v>88</v>
      </c>
      <c r="J59" s="59" t="n">
        <v>74</v>
      </c>
      <c r="K59" s="58" t="inlineStr">
        <is>
          <t>페이퍼컴퍼니 분산</t>
        </is>
      </c>
      <c r="L59" s="58" t="inlineStr">
        <is>
          <t>보유중</t>
        </is>
      </c>
    </row>
    <row r="60" ht="18" customHeight="1">
      <c r="A60" s="66" t="inlineStr">
        <is>
          <t>전북 부안 새만금 인근</t>
        </is>
      </c>
      <c r="B60" s="66" t="inlineStr">
        <is>
          <t>전북 부안군</t>
        </is>
      </c>
      <c r="C60" s="66" t="inlineStr">
        <is>
          <t>개발용</t>
        </is>
      </c>
      <c r="D60" s="66" t="inlineStr">
        <is>
          <t>2012</t>
        </is>
      </c>
      <c r="E60" s="67" t="n">
        <v>11</v>
      </c>
      <c r="F60" s="68" t="n">
        <v>58000000</v>
      </c>
      <c r="G60" s="68" t="n">
        <v>17545000</v>
      </c>
      <c r="H60" s="66" t="inlineStr">
        <is>
          <t>대지</t>
        </is>
      </c>
      <c r="I60" s="67" t="n">
        <v>65</v>
      </c>
      <c r="J60" s="67" t="n">
        <v>54</v>
      </c>
      <c r="K60" s="66" t="inlineStr">
        <is>
          <t>페이퍼컴퍼니 분산</t>
        </is>
      </c>
      <c r="L60" s="66" t="inlineStr">
        <is>
          <t>보유중</t>
        </is>
      </c>
    </row>
    <row r="61" ht="22" customHeight="1">
      <c r="A61" s="55" t="inlineStr">
        <is>
          <t>국내 토지 합계</t>
        </is>
      </c>
      <c r="B61" s="69" t="n"/>
      <c r="C61" s="69" t="n"/>
      <c r="D61" s="70" t="n"/>
      <c r="E61" s="55">
        <f>SUM(E51:E60)</f>
        <v/>
      </c>
      <c r="F61" s="55">
        <f>SUM(F51:F60)</f>
        <v/>
      </c>
      <c r="G61" s="55">
        <f>SUM(G51:G60)</f>
        <v/>
      </c>
      <c r="I61" s="55">
        <f>SUM(I51:I60)</f>
        <v/>
      </c>
      <c r="J61" s="55">
        <f>SUM(J51:J60)</f>
        <v/>
      </c>
    </row>
  </sheetData>
  <mergeCells count="9">
    <mergeCell ref="A46:J46"/>
    <mergeCell ref="A61:D61"/>
    <mergeCell ref="A22:J22"/>
    <mergeCell ref="A49:L49"/>
    <mergeCell ref="A24:K24"/>
    <mergeCell ref="A45:I45"/>
    <mergeCell ref="A27:L27"/>
    <mergeCell ref="A23:K2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2026-04-16T10:39:01Z</dcterms:created>
  <dcterms:modified xmlns:dcterms="http://purl.org/dc/terms/" xmlns:xsi="http://www.w3.org/2001/XMLSchema-instance" xsi:type="dcterms:W3CDTF">2026-04-19T15:45:27Z</dcterms:modified>
</cp:coreProperties>
</file>